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as/repository/consolefire/xpenser/data/reciepts/"/>
    </mc:Choice>
  </mc:AlternateContent>
  <xr:revisionPtr revIDLastSave="0" documentId="8_{DF4B96AE-3D2B-B046-BD61-A9F646D76023}" xr6:coauthVersionLast="47" xr6:coauthVersionMax="47" xr10:uidLastSave="{00000000-0000-0000-0000-000000000000}"/>
  <bookViews>
    <workbookView xWindow="0" yWindow="660" windowWidth="34560" windowHeight="21680" xr2:uid="{CE8643CF-9697-6148-AC4B-132076701A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10" i="1"/>
  <c r="J7" i="1"/>
  <c r="M7" i="1"/>
  <c r="N11" i="1"/>
  <c r="L11" i="1"/>
  <c r="L12" i="1"/>
  <c r="N12" i="1" s="1"/>
  <c r="K11" i="1"/>
  <c r="K12" i="1"/>
  <c r="K10" i="1"/>
  <c r="L10" i="1"/>
  <c r="N10" i="1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10" i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F5" i="1"/>
  <c r="F4" i="1"/>
  <c r="F3" i="1"/>
  <c r="N9" i="1" s="1"/>
  <c r="K13" i="1" l="1"/>
  <c r="L13" i="1" s="1"/>
  <c r="N13" i="1"/>
  <c r="F6" i="1"/>
  <c r="K14" i="1" l="1"/>
  <c r="L14" i="1" s="1"/>
  <c r="N14" i="1"/>
  <c r="K15" i="1" l="1"/>
  <c r="L15" i="1" s="1"/>
  <c r="N15" i="1"/>
  <c r="K16" i="1" l="1"/>
  <c r="L16" i="1" s="1"/>
  <c r="N16" i="1" s="1"/>
  <c r="K17" i="1" l="1"/>
  <c r="L17" i="1" s="1"/>
  <c r="N17" i="1" s="1"/>
  <c r="K18" i="1" l="1"/>
  <c r="L18" i="1" s="1"/>
  <c r="N18" i="1" s="1"/>
  <c r="K19" i="1" l="1"/>
  <c r="L19" i="1" s="1"/>
  <c r="N19" i="1" s="1"/>
  <c r="K20" i="1" l="1"/>
  <c r="L20" i="1" s="1"/>
  <c r="N20" i="1" s="1"/>
  <c r="K21" i="1" l="1"/>
  <c r="L21" i="1" s="1"/>
  <c r="N21" i="1" s="1"/>
  <c r="K22" i="1" l="1"/>
  <c r="L22" i="1" s="1"/>
  <c r="N22" i="1" s="1"/>
  <c r="K23" i="1" l="1"/>
  <c r="L23" i="1" s="1"/>
  <c r="N23" i="1"/>
  <c r="K24" i="1" l="1"/>
  <c r="L24" i="1" s="1"/>
  <c r="N24" i="1"/>
  <c r="K25" i="1" l="1"/>
  <c r="L25" i="1" s="1"/>
  <c r="N25" i="1"/>
  <c r="K26" i="1" l="1"/>
  <c r="L26" i="1" s="1"/>
  <c r="N26" i="1" s="1"/>
  <c r="K27" i="1" l="1"/>
  <c r="L27" i="1" s="1"/>
  <c r="N27" i="1"/>
  <c r="K28" i="1" l="1"/>
  <c r="L28" i="1" s="1"/>
  <c r="N28" i="1"/>
  <c r="K29" i="1" l="1"/>
  <c r="L29" i="1" s="1"/>
  <c r="N29" i="1"/>
  <c r="K30" i="1" l="1"/>
  <c r="L30" i="1" s="1"/>
  <c r="N30" i="1" s="1"/>
  <c r="K31" i="1" l="1"/>
  <c r="L31" i="1" s="1"/>
  <c r="N31" i="1" s="1"/>
  <c r="K32" i="1" l="1"/>
  <c r="L32" i="1" s="1"/>
  <c r="N32" i="1" s="1"/>
  <c r="K33" i="1" l="1"/>
  <c r="L33" i="1" s="1"/>
  <c r="N33" i="1"/>
  <c r="K34" i="1" l="1"/>
  <c r="L34" i="1" s="1"/>
  <c r="N34" i="1"/>
  <c r="K35" i="1" l="1"/>
  <c r="L35" i="1" s="1"/>
  <c r="N35" i="1"/>
  <c r="K36" i="1" l="1"/>
  <c r="L36" i="1" l="1"/>
  <c r="N36" i="1" l="1"/>
  <c r="K37" i="1" s="1"/>
  <c r="L37" i="1" l="1"/>
  <c r="N37" i="1" l="1"/>
  <c r="K38" i="1" s="1"/>
  <c r="L38" i="1" l="1"/>
  <c r="N38" i="1" l="1"/>
  <c r="K39" i="1" s="1"/>
  <c r="L39" i="1" l="1"/>
  <c r="N39" i="1" l="1"/>
  <c r="K40" i="1" l="1"/>
  <c r="L40" i="1" l="1"/>
  <c r="N40" i="1" l="1"/>
  <c r="K41" i="1" s="1"/>
  <c r="L41" i="1" s="1"/>
  <c r="N41" i="1" s="1"/>
  <c r="K42" i="1" s="1"/>
  <c r="L42" i="1" s="1"/>
  <c r="N42" i="1" s="1"/>
  <c r="K43" i="1" l="1"/>
  <c r="L43" i="1" s="1"/>
  <c r="N43" i="1" s="1"/>
  <c r="K44" i="1" s="1"/>
  <c r="L44" i="1" s="1"/>
  <c r="N44" i="1" s="1"/>
  <c r="K45" i="1" l="1"/>
  <c r="L45" i="1" s="1"/>
  <c r="N45" i="1" s="1"/>
  <c r="K46" i="1" s="1"/>
  <c r="L46" i="1" s="1"/>
  <c r="N46" i="1" s="1"/>
  <c r="K47" i="1" s="1"/>
  <c r="L47" i="1" s="1"/>
  <c r="N47" i="1" s="1"/>
  <c r="K48" i="1" s="1"/>
  <c r="L48" i="1" s="1"/>
  <c r="N48" i="1" s="1"/>
  <c r="K49" i="1" s="1"/>
  <c r="L49" i="1" s="1"/>
  <c r="N49" i="1" s="1"/>
  <c r="K50" i="1" l="1"/>
  <c r="L50" i="1" s="1"/>
  <c r="N50" i="1" s="1"/>
  <c r="K51" i="1" l="1"/>
  <c r="L51" i="1" s="1"/>
  <c r="N51" i="1" s="1"/>
  <c r="K52" i="1" l="1"/>
  <c r="L52" i="1" s="1"/>
  <c r="N52" i="1" s="1"/>
  <c r="K53" i="1" l="1"/>
  <c r="L53" i="1" s="1"/>
  <c r="N53" i="1" s="1"/>
  <c r="K54" i="1" l="1"/>
  <c r="L54" i="1" s="1"/>
  <c r="N54" i="1" s="1"/>
  <c r="K55" i="1" l="1"/>
  <c r="L55" i="1" s="1"/>
  <c r="N55" i="1" s="1"/>
  <c r="K56" i="1" l="1"/>
  <c r="L56" i="1" s="1"/>
  <c r="N56" i="1" s="1"/>
  <c r="K57" i="1" l="1"/>
  <c r="L57" i="1" s="1"/>
  <c r="N57" i="1" s="1"/>
  <c r="K58" i="1" l="1"/>
  <c r="L58" i="1" s="1"/>
  <c r="N58" i="1" s="1"/>
  <c r="K59" i="1" l="1"/>
  <c r="L59" i="1" s="1"/>
  <c r="N59" i="1" s="1"/>
  <c r="K60" i="1" l="1"/>
  <c r="L60" i="1" s="1"/>
  <c r="N60" i="1" s="1"/>
  <c r="K61" i="1" l="1"/>
  <c r="L61" i="1" s="1"/>
  <c r="N61" i="1" s="1"/>
  <c r="K62" i="1" l="1"/>
  <c r="L62" i="1" s="1"/>
  <c r="N62" i="1" s="1"/>
  <c r="K63" i="1" l="1"/>
  <c r="L63" i="1" s="1"/>
  <c r="N63" i="1" s="1"/>
  <c r="K64" i="1" l="1"/>
  <c r="L64" i="1" s="1"/>
  <c r="N64" i="1" s="1"/>
  <c r="K65" i="1" l="1"/>
  <c r="L65" i="1" s="1"/>
  <c r="N65" i="1" s="1"/>
  <c r="K66" i="1" l="1"/>
  <c r="L66" i="1" s="1"/>
  <c r="N66" i="1" s="1"/>
  <c r="K67" i="1" l="1"/>
  <c r="L67" i="1" s="1"/>
  <c r="N67" i="1" s="1"/>
  <c r="K68" i="1" l="1"/>
  <c r="L68" i="1" s="1"/>
  <c r="N68" i="1" s="1"/>
  <c r="K69" i="1" l="1"/>
  <c r="L69" i="1" s="1"/>
  <c r="N69" i="1" s="1"/>
  <c r="K70" i="1" l="1"/>
  <c r="L70" i="1" s="1"/>
  <c r="N70" i="1" s="1"/>
  <c r="K71" i="1" l="1"/>
  <c r="L71" i="1" s="1"/>
  <c r="N71" i="1" s="1"/>
  <c r="K72" i="1" l="1"/>
  <c r="L72" i="1" s="1"/>
  <c r="N72" i="1" s="1"/>
  <c r="K73" i="1" l="1"/>
  <c r="L73" i="1" s="1"/>
  <c r="N73" i="1" s="1"/>
  <c r="K74" i="1" l="1"/>
  <c r="L74" i="1" s="1"/>
  <c r="N74" i="1" s="1"/>
  <c r="K75" i="1" l="1"/>
  <c r="L75" i="1" s="1"/>
  <c r="N75" i="1" s="1"/>
  <c r="K76" i="1" l="1"/>
  <c r="L76" i="1" s="1"/>
  <c r="N76" i="1" s="1"/>
  <c r="K77" i="1" l="1"/>
  <c r="L77" i="1" s="1"/>
  <c r="N77" i="1" s="1"/>
  <c r="K78" i="1" l="1"/>
  <c r="L78" i="1" s="1"/>
  <c r="N78" i="1" s="1"/>
  <c r="K79" i="1" l="1"/>
  <c r="L79" i="1" s="1"/>
  <c r="N79" i="1" s="1"/>
  <c r="K80" i="1" l="1"/>
  <c r="L80" i="1" s="1"/>
  <c r="N80" i="1" s="1"/>
  <c r="K81" i="1" l="1"/>
  <c r="L81" i="1" s="1"/>
  <c r="N81" i="1" s="1"/>
  <c r="K82" i="1" l="1"/>
  <c r="L82" i="1" s="1"/>
  <c r="N82" i="1" s="1"/>
  <c r="K83" i="1" l="1"/>
  <c r="L83" i="1" s="1"/>
  <c r="N83" i="1" s="1"/>
  <c r="K84" i="1" l="1"/>
  <c r="L84" i="1" s="1"/>
  <c r="N84" i="1" s="1"/>
  <c r="K85" i="1" l="1"/>
  <c r="L85" i="1" s="1"/>
  <c r="N85" i="1" s="1"/>
  <c r="K86" i="1" l="1"/>
  <c r="L86" i="1" s="1"/>
  <c r="N86" i="1" s="1"/>
  <c r="K87" i="1" l="1"/>
  <c r="L87" i="1" s="1"/>
  <c r="N87" i="1" s="1"/>
  <c r="K88" i="1" l="1"/>
  <c r="L88" i="1" s="1"/>
  <c r="N88" i="1" s="1"/>
  <c r="K89" i="1" l="1"/>
  <c r="L89" i="1" s="1"/>
  <c r="N89" i="1" s="1"/>
  <c r="K90" i="1" l="1"/>
  <c r="L90" i="1" s="1"/>
  <c r="N90" i="1" s="1"/>
  <c r="K91" i="1" l="1"/>
  <c r="L91" i="1" s="1"/>
  <c r="N91" i="1" s="1"/>
  <c r="K92" i="1" l="1"/>
  <c r="L92" i="1" s="1"/>
  <c r="N92" i="1" s="1"/>
  <c r="K93" i="1" l="1"/>
  <c r="L93" i="1" s="1"/>
  <c r="N93" i="1" s="1"/>
  <c r="K94" i="1" l="1"/>
  <c r="L94" i="1" s="1"/>
  <c r="N94" i="1" s="1"/>
  <c r="K95" i="1" l="1"/>
  <c r="L95" i="1" s="1"/>
  <c r="N95" i="1" s="1"/>
  <c r="K96" i="1" l="1"/>
  <c r="L96" i="1" s="1"/>
  <c r="N96" i="1" s="1"/>
  <c r="K97" i="1" l="1"/>
  <c r="L97" i="1" s="1"/>
  <c r="N97" i="1" s="1"/>
  <c r="K98" i="1" l="1"/>
  <c r="L98" i="1" s="1"/>
  <c r="N98" i="1" s="1"/>
  <c r="K99" i="1" l="1"/>
  <c r="L99" i="1" s="1"/>
  <c r="N99" i="1" s="1"/>
  <c r="K100" i="1" l="1"/>
  <c r="L100" i="1" s="1"/>
  <c r="N100" i="1" s="1"/>
  <c r="K101" i="1" l="1"/>
  <c r="L101" i="1" s="1"/>
  <c r="N101" i="1" s="1"/>
  <c r="K102" i="1" l="1"/>
  <c r="L102" i="1" s="1"/>
  <c r="N102" i="1" s="1"/>
  <c r="K103" i="1" l="1"/>
  <c r="L103" i="1" s="1"/>
  <c r="N103" i="1" s="1"/>
  <c r="K104" i="1" l="1"/>
  <c r="L104" i="1" s="1"/>
  <c r="N104" i="1" s="1"/>
  <c r="K105" i="1" l="1"/>
  <c r="L105" i="1" s="1"/>
  <c r="N105" i="1"/>
  <c r="K106" i="1" l="1"/>
  <c r="L106" i="1" s="1"/>
  <c r="N106" i="1" s="1"/>
  <c r="K107" i="1" l="1"/>
  <c r="L107" i="1" s="1"/>
  <c r="N107" i="1" s="1"/>
  <c r="K108" i="1" l="1"/>
  <c r="L108" i="1" s="1"/>
  <c r="N108" i="1" s="1"/>
  <c r="K109" i="1" l="1"/>
  <c r="L109" i="1" s="1"/>
  <c r="N109" i="1" s="1"/>
  <c r="K110" i="1" l="1"/>
  <c r="L110" i="1" s="1"/>
  <c r="N110" i="1" s="1"/>
  <c r="K111" i="1" l="1"/>
  <c r="L111" i="1" s="1"/>
  <c r="N111" i="1" s="1"/>
  <c r="K112" i="1" l="1"/>
  <c r="L112" i="1" s="1"/>
  <c r="N112" i="1" s="1"/>
  <c r="K113" i="1" l="1"/>
  <c r="L113" i="1" s="1"/>
  <c r="N113" i="1" s="1"/>
  <c r="K114" i="1" l="1"/>
  <c r="L114" i="1" s="1"/>
  <c r="N114" i="1" s="1"/>
  <c r="K115" i="1" l="1"/>
  <c r="L115" i="1" s="1"/>
  <c r="N115" i="1" s="1"/>
  <c r="K116" i="1" l="1"/>
  <c r="L116" i="1" s="1"/>
  <c r="N116" i="1" s="1"/>
  <c r="K117" i="1" l="1"/>
  <c r="L117" i="1" s="1"/>
  <c r="N117" i="1" s="1"/>
  <c r="K118" i="1" l="1"/>
  <c r="L118" i="1" s="1"/>
  <c r="N118" i="1" s="1"/>
  <c r="K119" i="1" l="1"/>
  <c r="L119" i="1" s="1"/>
  <c r="N119" i="1" s="1"/>
  <c r="K120" i="1" l="1"/>
  <c r="L120" i="1" s="1"/>
  <c r="N120" i="1" s="1"/>
  <c r="K121" i="1" l="1"/>
  <c r="L121" i="1" s="1"/>
  <c r="N121" i="1" s="1"/>
  <c r="K122" i="1" l="1"/>
  <c r="L122" i="1" s="1"/>
  <c r="N122" i="1" s="1"/>
  <c r="K123" i="1" l="1"/>
  <c r="L123" i="1" s="1"/>
  <c r="N123" i="1" s="1"/>
  <c r="K124" i="1" l="1"/>
  <c r="L124" i="1" s="1"/>
  <c r="N124" i="1" s="1"/>
  <c r="K125" i="1" l="1"/>
  <c r="L125" i="1" s="1"/>
  <c r="N125" i="1" s="1"/>
  <c r="K126" i="1" l="1"/>
  <c r="L126" i="1" s="1"/>
  <c r="N126" i="1" s="1"/>
  <c r="K127" i="1" l="1"/>
  <c r="L127" i="1" s="1"/>
  <c r="N127" i="1" s="1"/>
  <c r="K128" i="1" l="1"/>
  <c r="L128" i="1" s="1"/>
  <c r="N128" i="1" s="1"/>
  <c r="K129" i="1" l="1"/>
  <c r="L129" i="1" s="1"/>
  <c r="N129" i="1" s="1"/>
  <c r="K130" i="1" l="1"/>
  <c r="L130" i="1" s="1"/>
  <c r="N130" i="1" s="1"/>
  <c r="K131" i="1" l="1"/>
  <c r="L131" i="1" s="1"/>
  <c r="N131" i="1" s="1"/>
  <c r="K132" i="1" l="1"/>
  <c r="L132" i="1" l="1"/>
  <c r="N132" i="1" s="1"/>
  <c r="K133" i="1" s="1"/>
  <c r="L133" i="1" s="1"/>
  <c r="P132" i="1"/>
  <c r="R132" i="1" s="1"/>
  <c r="N133" i="1" l="1"/>
  <c r="K134" i="1" l="1"/>
  <c r="L134" i="1" s="1"/>
  <c r="N134" i="1" s="1"/>
  <c r="K135" i="1" s="1"/>
  <c r="L135" i="1" s="1"/>
  <c r="N135" i="1" s="1"/>
  <c r="K136" i="1" l="1"/>
  <c r="L136" i="1" s="1"/>
  <c r="N136" i="1" s="1"/>
  <c r="K137" i="1" l="1"/>
  <c r="L137" i="1" s="1"/>
  <c r="N137" i="1" s="1"/>
  <c r="K138" i="1" l="1"/>
  <c r="L138" i="1" s="1"/>
  <c r="N138" i="1" s="1"/>
  <c r="K139" i="1" l="1"/>
  <c r="L139" i="1" s="1"/>
  <c r="N139" i="1" s="1"/>
  <c r="K140" i="1" l="1"/>
  <c r="L140" i="1" s="1"/>
  <c r="N140" i="1" s="1"/>
  <c r="K141" i="1" l="1"/>
  <c r="L141" i="1" s="1"/>
  <c r="N141" i="1" s="1"/>
  <c r="K142" i="1" l="1"/>
  <c r="L142" i="1" s="1"/>
  <c r="N142" i="1" s="1"/>
  <c r="K143" i="1" l="1"/>
  <c r="L143" i="1" s="1"/>
  <c r="N143" i="1" s="1"/>
  <c r="K144" i="1" l="1"/>
  <c r="L144" i="1" s="1"/>
  <c r="N144" i="1" s="1"/>
  <c r="K145" i="1" l="1"/>
  <c r="L145" i="1" s="1"/>
  <c r="N145" i="1" s="1"/>
  <c r="K146" i="1" l="1"/>
  <c r="L146" i="1" s="1"/>
  <c r="N146" i="1" s="1"/>
  <c r="K147" i="1" l="1"/>
  <c r="L147" i="1" s="1"/>
  <c r="N147" i="1" s="1"/>
  <c r="K148" i="1" l="1"/>
  <c r="L148" i="1" s="1"/>
  <c r="N148" i="1" s="1"/>
  <c r="K149" i="1" l="1"/>
  <c r="L149" i="1" s="1"/>
  <c r="N149" i="1" s="1"/>
  <c r="K150" i="1" l="1"/>
  <c r="L150" i="1" s="1"/>
  <c r="N150" i="1" s="1"/>
  <c r="K151" i="1" l="1"/>
  <c r="L151" i="1" s="1"/>
  <c r="N151" i="1" s="1"/>
  <c r="K152" i="1" l="1"/>
  <c r="L152" i="1" s="1"/>
  <c r="N152" i="1" s="1"/>
  <c r="K153" i="1" l="1"/>
  <c r="L153" i="1" s="1"/>
  <c r="N153" i="1" s="1"/>
  <c r="K154" i="1" l="1"/>
  <c r="L154" i="1" s="1"/>
  <c r="N154" i="1" s="1"/>
  <c r="K155" i="1" l="1"/>
  <c r="L155" i="1" s="1"/>
  <c r="N155" i="1" s="1"/>
  <c r="K156" i="1" l="1"/>
  <c r="L156" i="1" s="1"/>
  <c r="N156" i="1" s="1"/>
  <c r="K157" i="1" l="1"/>
  <c r="L157" i="1" s="1"/>
  <c r="N157" i="1" s="1"/>
  <c r="K158" i="1" l="1"/>
  <c r="L158" i="1" s="1"/>
  <c r="N158" i="1" s="1"/>
  <c r="K159" i="1" l="1"/>
  <c r="L159" i="1" s="1"/>
  <c r="N159" i="1" s="1"/>
  <c r="K160" i="1" l="1"/>
  <c r="L160" i="1" s="1"/>
  <c r="N160" i="1" s="1"/>
  <c r="K161" i="1" l="1"/>
  <c r="L161" i="1" s="1"/>
  <c r="N161" i="1" s="1"/>
  <c r="K162" i="1" l="1"/>
  <c r="L162" i="1" s="1"/>
  <c r="N162" i="1" s="1"/>
  <c r="K163" i="1" l="1"/>
  <c r="L163" i="1" s="1"/>
  <c r="N163" i="1" s="1"/>
  <c r="K164" i="1" l="1"/>
  <c r="L164" i="1" s="1"/>
  <c r="N164" i="1" s="1"/>
  <c r="K165" i="1" l="1"/>
  <c r="L165" i="1" s="1"/>
  <c r="N165" i="1" s="1"/>
  <c r="K166" i="1" l="1"/>
  <c r="L166" i="1" s="1"/>
  <c r="N166" i="1" s="1"/>
  <c r="K167" i="1" l="1"/>
  <c r="L167" i="1" s="1"/>
  <c r="N167" i="1" s="1"/>
  <c r="K168" i="1" l="1"/>
  <c r="L168" i="1" s="1"/>
  <c r="N168" i="1" s="1"/>
  <c r="K169" i="1" l="1"/>
  <c r="L169" i="1" s="1"/>
  <c r="N169" i="1" s="1"/>
  <c r="K170" i="1" l="1"/>
  <c r="L170" i="1" s="1"/>
  <c r="N170" i="1" s="1"/>
  <c r="K171" i="1" l="1"/>
  <c r="L171" i="1" s="1"/>
  <c r="N171" i="1" s="1"/>
  <c r="K172" i="1" l="1"/>
  <c r="L172" i="1" s="1"/>
  <c r="N172" i="1" s="1"/>
  <c r="K173" i="1" l="1"/>
  <c r="L173" i="1" s="1"/>
  <c r="N173" i="1" s="1"/>
  <c r="K174" i="1" l="1"/>
  <c r="L174" i="1" s="1"/>
  <c r="N174" i="1"/>
  <c r="K175" i="1" l="1"/>
  <c r="L175" i="1" s="1"/>
  <c r="N175" i="1" s="1"/>
  <c r="K176" i="1" l="1"/>
  <c r="L176" i="1" s="1"/>
  <c r="N176" i="1" s="1"/>
  <c r="K177" i="1" l="1"/>
  <c r="L177" i="1" s="1"/>
  <c r="N177" i="1" s="1"/>
  <c r="K178" i="1" l="1"/>
  <c r="L178" i="1" s="1"/>
  <c r="N178" i="1" s="1"/>
  <c r="K179" i="1" l="1"/>
  <c r="L179" i="1" s="1"/>
  <c r="N179" i="1" s="1"/>
  <c r="K180" i="1" l="1"/>
  <c r="L180" i="1" s="1"/>
  <c r="N180" i="1" s="1"/>
  <c r="K181" i="1" l="1"/>
  <c r="L181" i="1" s="1"/>
  <c r="N181" i="1" s="1"/>
  <c r="K182" i="1" l="1"/>
  <c r="L182" i="1" s="1"/>
  <c r="N182" i="1" s="1"/>
  <c r="K183" i="1" l="1"/>
  <c r="L183" i="1" s="1"/>
  <c r="N183" i="1" s="1"/>
  <c r="K184" i="1" l="1"/>
  <c r="L184" i="1" s="1"/>
  <c r="N184" i="1" s="1"/>
  <c r="K185" i="1" l="1"/>
  <c r="L185" i="1" s="1"/>
  <c r="N185" i="1" s="1"/>
  <c r="K186" i="1" l="1"/>
  <c r="L186" i="1" s="1"/>
  <c r="N186" i="1" s="1"/>
  <c r="K187" i="1" l="1"/>
  <c r="L187" i="1" s="1"/>
  <c r="N187" i="1" s="1"/>
  <c r="K188" i="1" l="1"/>
  <c r="L188" i="1" s="1"/>
  <c r="N188" i="1" s="1"/>
  <c r="K189" i="1" l="1"/>
  <c r="L189" i="1" s="1"/>
  <c r="N189" i="1" s="1"/>
  <c r="K190" i="1" l="1"/>
  <c r="L190" i="1" s="1"/>
  <c r="N190" i="1" s="1"/>
  <c r="K191" i="1" l="1"/>
  <c r="L191" i="1" s="1"/>
  <c r="N191" i="1" s="1"/>
  <c r="K192" i="1" l="1"/>
  <c r="L192" i="1" s="1"/>
  <c r="N192" i="1" s="1"/>
  <c r="K193" i="1" l="1"/>
  <c r="L193" i="1" s="1"/>
  <c r="N193" i="1" s="1"/>
  <c r="K194" i="1" l="1"/>
  <c r="L194" i="1" s="1"/>
  <c r="N194" i="1" s="1"/>
  <c r="K195" i="1" l="1"/>
  <c r="L195" i="1" s="1"/>
  <c r="N195" i="1" s="1"/>
  <c r="K196" i="1" l="1"/>
  <c r="L196" i="1" s="1"/>
  <c r="N196" i="1" s="1"/>
  <c r="K197" i="1" l="1"/>
  <c r="L197" i="1" s="1"/>
  <c r="N197" i="1" s="1"/>
  <c r="K198" i="1" l="1"/>
  <c r="L198" i="1" s="1"/>
  <c r="N198" i="1" s="1"/>
  <c r="K199" i="1" l="1"/>
  <c r="L199" i="1" s="1"/>
  <c r="N199" i="1" s="1"/>
  <c r="K200" i="1" l="1"/>
  <c r="L200" i="1" s="1"/>
  <c r="N200" i="1" s="1"/>
  <c r="K201" i="1" l="1"/>
  <c r="L201" i="1" s="1"/>
  <c r="N201" i="1" s="1"/>
  <c r="K202" i="1" l="1"/>
  <c r="L202" i="1" s="1"/>
  <c r="N202" i="1" s="1"/>
  <c r="K203" i="1" l="1"/>
  <c r="L203" i="1" s="1"/>
  <c r="N203" i="1" s="1"/>
  <c r="K204" i="1" l="1"/>
  <c r="L204" i="1" s="1"/>
  <c r="N204" i="1" s="1"/>
  <c r="K205" i="1" l="1"/>
  <c r="L205" i="1" s="1"/>
  <c r="N205" i="1" s="1"/>
  <c r="K206" i="1" l="1"/>
  <c r="L206" i="1" s="1"/>
  <c r="N206" i="1" s="1"/>
  <c r="K207" i="1" l="1"/>
  <c r="L207" i="1" s="1"/>
  <c r="N207" i="1" s="1"/>
  <c r="K208" i="1" l="1"/>
  <c r="L208" i="1" s="1"/>
  <c r="N208" i="1" s="1"/>
  <c r="K209" i="1" l="1"/>
  <c r="L209" i="1" s="1"/>
  <c r="N209" i="1" s="1"/>
  <c r="K210" i="1" l="1"/>
  <c r="L210" i="1" s="1"/>
  <c r="N210" i="1" s="1"/>
  <c r="K211" i="1" l="1"/>
  <c r="L211" i="1" s="1"/>
  <c r="N211" i="1" s="1"/>
  <c r="K212" i="1" l="1"/>
  <c r="L212" i="1" s="1"/>
  <c r="N212" i="1" s="1"/>
  <c r="K213" i="1" l="1"/>
  <c r="L213" i="1" s="1"/>
  <c r="N213" i="1" s="1"/>
  <c r="K214" i="1" l="1"/>
  <c r="L214" i="1" s="1"/>
  <c r="N214" i="1" s="1"/>
  <c r="K215" i="1" l="1"/>
  <c r="L215" i="1" s="1"/>
  <c r="N215" i="1" s="1"/>
  <c r="K216" i="1" l="1"/>
  <c r="L216" i="1" s="1"/>
  <c r="N216" i="1" s="1"/>
  <c r="K217" i="1" l="1"/>
  <c r="L217" i="1" s="1"/>
  <c r="N217" i="1" s="1"/>
  <c r="K218" i="1" l="1"/>
  <c r="L218" i="1" s="1"/>
  <c r="N218" i="1" s="1"/>
  <c r="K219" i="1" l="1"/>
  <c r="L219" i="1" s="1"/>
  <c r="N219" i="1" s="1"/>
  <c r="K220" i="1" l="1"/>
  <c r="L220" i="1" s="1"/>
  <c r="N220" i="1" s="1"/>
  <c r="K221" i="1" l="1"/>
  <c r="L221" i="1" s="1"/>
  <c r="N221" i="1" s="1"/>
  <c r="K222" i="1" l="1"/>
  <c r="L222" i="1" s="1"/>
  <c r="N222" i="1" s="1"/>
  <c r="K223" i="1" l="1"/>
  <c r="L223" i="1" s="1"/>
  <c r="N223" i="1" s="1"/>
  <c r="K224" i="1" l="1"/>
  <c r="L224" i="1" s="1"/>
  <c r="N224" i="1" s="1"/>
  <c r="K225" i="1" l="1"/>
  <c r="L225" i="1" s="1"/>
  <c r="N225" i="1" s="1"/>
  <c r="K226" i="1" l="1"/>
  <c r="L226" i="1" s="1"/>
  <c r="N226" i="1" s="1"/>
  <c r="K227" i="1" l="1"/>
  <c r="L227" i="1" s="1"/>
  <c r="N227" i="1" s="1"/>
  <c r="K228" i="1" l="1"/>
  <c r="L228" i="1" s="1"/>
  <c r="N228" i="1" s="1"/>
  <c r="K229" i="1" l="1"/>
  <c r="L229" i="1" s="1"/>
  <c r="N229" i="1" s="1"/>
  <c r="K230" i="1" l="1"/>
  <c r="L230" i="1" s="1"/>
  <c r="N230" i="1" s="1"/>
  <c r="K231" i="1" l="1"/>
  <c r="L231" i="1" s="1"/>
  <c r="N231" i="1" s="1"/>
  <c r="K232" i="1" l="1"/>
  <c r="L232" i="1" s="1"/>
  <c r="N232" i="1" s="1"/>
  <c r="K233" i="1" l="1"/>
  <c r="L233" i="1" s="1"/>
  <c r="N233" i="1" s="1"/>
  <c r="K234" i="1" l="1"/>
  <c r="L234" i="1" s="1"/>
  <c r="N234" i="1" s="1"/>
  <c r="K235" i="1" l="1"/>
  <c r="L235" i="1" s="1"/>
  <c r="N235" i="1" s="1"/>
  <c r="K236" i="1" l="1"/>
  <c r="L236" i="1" s="1"/>
  <c r="N236" i="1" s="1"/>
  <c r="K237" i="1" l="1"/>
  <c r="L237" i="1" s="1"/>
  <c r="N237" i="1" s="1"/>
  <c r="K238" i="1" l="1"/>
  <c r="L238" i="1" s="1"/>
  <c r="N238" i="1" s="1"/>
  <c r="K239" i="1" l="1"/>
  <c r="L239" i="1" s="1"/>
  <c r="N239" i="1" s="1"/>
  <c r="K240" i="1" l="1"/>
  <c r="L240" i="1" s="1"/>
  <c r="N240" i="1" s="1"/>
  <c r="K241" i="1" l="1"/>
  <c r="L241" i="1" s="1"/>
  <c r="N241" i="1" s="1"/>
  <c r="K242" i="1" l="1"/>
  <c r="L242" i="1" s="1"/>
  <c r="N242" i="1" s="1"/>
  <c r="K243" i="1" l="1"/>
  <c r="L243" i="1" s="1"/>
  <c r="N243" i="1" s="1"/>
  <c r="K244" i="1" l="1"/>
  <c r="L244" i="1" s="1"/>
  <c r="N244" i="1" s="1"/>
  <c r="K245" i="1" l="1"/>
  <c r="L245" i="1" s="1"/>
  <c r="N245" i="1" s="1"/>
  <c r="K246" i="1" l="1"/>
  <c r="L246" i="1" s="1"/>
  <c r="N246" i="1" s="1"/>
  <c r="K247" i="1" l="1"/>
  <c r="L247" i="1" s="1"/>
  <c r="N247" i="1" s="1"/>
  <c r="K248" i="1" l="1"/>
  <c r="L248" i="1" s="1"/>
  <c r="N248" i="1" s="1"/>
  <c r="K249" i="1" l="1"/>
  <c r="L249" i="1" s="1"/>
  <c r="N249" i="1" s="1"/>
  <c r="K250" i="1" l="1"/>
  <c r="L250" i="1" s="1"/>
  <c r="N250" i="1" s="1"/>
  <c r="K251" i="1" l="1"/>
  <c r="L251" i="1" s="1"/>
  <c r="N251" i="1" s="1"/>
  <c r="K252" i="1" l="1"/>
  <c r="L252" i="1" s="1"/>
  <c r="N252" i="1" s="1"/>
  <c r="K253" i="1" l="1"/>
  <c r="L253" i="1" s="1"/>
  <c r="N253" i="1" s="1"/>
  <c r="K254" i="1" l="1"/>
  <c r="L254" i="1" s="1"/>
  <c r="N254" i="1" s="1"/>
  <c r="K255" i="1" l="1"/>
  <c r="L255" i="1" s="1"/>
  <c r="N255" i="1" s="1"/>
  <c r="K256" i="1" l="1"/>
  <c r="L256" i="1" s="1"/>
  <c r="N256" i="1" s="1"/>
  <c r="K257" i="1" l="1"/>
  <c r="L257" i="1" s="1"/>
  <c r="N257" i="1" s="1"/>
  <c r="K258" i="1" l="1"/>
  <c r="L258" i="1" s="1"/>
  <c r="N258" i="1" s="1"/>
  <c r="K259" i="1" l="1"/>
  <c r="L259" i="1" s="1"/>
  <c r="N259" i="1" s="1"/>
  <c r="K260" i="1" l="1"/>
  <c r="L260" i="1" s="1"/>
  <c r="N260" i="1" s="1"/>
  <c r="K261" i="1" l="1"/>
  <c r="L261" i="1" s="1"/>
  <c r="N261" i="1" s="1"/>
  <c r="K262" i="1" l="1"/>
  <c r="L262" i="1" s="1"/>
  <c r="N262" i="1" s="1"/>
  <c r="K263" i="1" l="1"/>
  <c r="L263" i="1" s="1"/>
  <c r="N263" i="1" s="1"/>
  <c r="K264" i="1" l="1"/>
  <c r="L264" i="1" s="1"/>
  <c r="N264" i="1" s="1"/>
  <c r="K265" i="1" l="1"/>
  <c r="L265" i="1" s="1"/>
  <c r="N265" i="1" s="1"/>
  <c r="K266" i="1" l="1"/>
  <c r="L266" i="1" s="1"/>
  <c r="N266" i="1" s="1"/>
  <c r="K267" i="1" l="1"/>
  <c r="L267" i="1" s="1"/>
  <c r="N267" i="1" s="1"/>
  <c r="K268" i="1" l="1"/>
  <c r="L268" i="1" s="1"/>
  <c r="N268" i="1" s="1"/>
  <c r="K269" i="1" l="1"/>
  <c r="L269" i="1" s="1"/>
  <c r="N269" i="1" s="1"/>
  <c r="K270" i="1" l="1"/>
  <c r="L270" i="1" s="1"/>
  <c r="N270" i="1" s="1"/>
  <c r="K271" i="1" l="1"/>
  <c r="L271" i="1" s="1"/>
  <c r="N271" i="1" s="1"/>
  <c r="K272" i="1" l="1"/>
  <c r="L272" i="1" s="1"/>
  <c r="N272" i="1" s="1"/>
  <c r="K273" i="1" l="1"/>
  <c r="L273" i="1" s="1"/>
  <c r="N273" i="1" s="1"/>
  <c r="K274" i="1" l="1"/>
  <c r="L274" i="1" s="1"/>
  <c r="N274" i="1" s="1"/>
  <c r="K275" i="1" l="1"/>
  <c r="L275" i="1" s="1"/>
  <c r="N275" i="1" s="1"/>
  <c r="K276" i="1" l="1"/>
  <c r="L276" i="1" s="1"/>
  <c r="N276" i="1" s="1"/>
  <c r="K277" i="1" l="1"/>
  <c r="L277" i="1" s="1"/>
  <c r="N277" i="1" s="1"/>
  <c r="K278" i="1" l="1"/>
  <c r="L278" i="1" s="1"/>
  <c r="N278" i="1" s="1"/>
  <c r="K279" i="1" l="1"/>
  <c r="L279" i="1" s="1"/>
  <c r="N279" i="1" s="1"/>
  <c r="K280" i="1" l="1"/>
  <c r="L280" i="1" s="1"/>
  <c r="N280" i="1" s="1"/>
  <c r="K281" i="1" l="1"/>
  <c r="L281" i="1" s="1"/>
  <c r="N281" i="1" s="1"/>
  <c r="K282" i="1" l="1"/>
  <c r="L282" i="1" s="1"/>
  <c r="N282" i="1" s="1"/>
  <c r="K283" i="1" l="1"/>
  <c r="L283" i="1" s="1"/>
  <c r="N283" i="1" s="1"/>
  <c r="K284" i="1" l="1"/>
  <c r="L284" i="1" s="1"/>
  <c r="N284" i="1" s="1"/>
  <c r="K285" i="1" l="1"/>
  <c r="L285" i="1" s="1"/>
  <c r="N285" i="1" s="1"/>
  <c r="K286" i="1" l="1"/>
  <c r="L286" i="1" s="1"/>
  <c r="N286" i="1" s="1"/>
  <c r="K287" i="1" l="1"/>
  <c r="L287" i="1" s="1"/>
  <c r="N287" i="1" s="1"/>
  <c r="K288" i="1" l="1"/>
  <c r="L288" i="1" s="1"/>
  <c r="N288" i="1" s="1"/>
  <c r="K289" i="1" l="1"/>
  <c r="L289" i="1" s="1"/>
  <c r="N289" i="1" s="1"/>
  <c r="K290" i="1" l="1"/>
  <c r="L290" i="1" s="1"/>
  <c r="N290" i="1" s="1"/>
  <c r="K291" i="1" l="1"/>
  <c r="L291" i="1" s="1"/>
  <c r="N291" i="1" s="1"/>
  <c r="K292" i="1" l="1"/>
  <c r="L292" i="1" s="1"/>
  <c r="N292" i="1" s="1"/>
  <c r="K293" i="1" l="1"/>
  <c r="L293" i="1" s="1"/>
  <c r="N293" i="1" s="1"/>
  <c r="K294" i="1" l="1"/>
  <c r="L294" i="1" s="1"/>
  <c r="N294" i="1" s="1"/>
  <c r="K295" i="1" l="1"/>
  <c r="L295" i="1" s="1"/>
  <c r="N295" i="1" s="1"/>
  <c r="K296" i="1" l="1"/>
  <c r="L296" i="1" s="1"/>
  <c r="N296" i="1" s="1"/>
  <c r="K297" i="1" l="1"/>
  <c r="L297" i="1" s="1"/>
  <c r="N297" i="1" s="1"/>
  <c r="K298" i="1" l="1"/>
  <c r="L298" i="1" s="1"/>
  <c r="N298" i="1" s="1"/>
  <c r="K299" i="1" l="1"/>
  <c r="L299" i="1" s="1"/>
  <c r="N299" i="1" s="1"/>
  <c r="K300" i="1" l="1"/>
  <c r="L300" i="1" s="1"/>
  <c r="N300" i="1" s="1"/>
  <c r="K301" i="1" l="1"/>
  <c r="L301" i="1" s="1"/>
  <c r="N301" i="1" s="1"/>
  <c r="K302" i="1" l="1"/>
  <c r="L302" i="1" s="1"/>
  <c r="N302" i="1" s="1"/>
  <c r="K303" i="1" l="1"/>
  <c r="L303" i="1" s="1"/>
  <c r="N303" i="1" s="1"/>
  <c r="K304" i="1" l="1"/>
  <c r="L304" i="1" s="1"/>
  <c r="N304" i="1" s="1"/>
  <c r="K305" i="1" l="1"/>
  <c r="L305" i="1" s="1"/>
  <c r="N305" i="1" s="1"/>
  <c r="K306" i="1" l="1"/>
  <c r="L306" i="1" s="1"/>
  <c r="N306" i="1" s="1"/>
  <c r="K307" i="1" l="1"/>
  <c r="L307" i="1" s="1"/>
  <c r="N307" i="1" s="1"/>
  <c r="K308" i="1" l="1"/>
  <c r="L308" i="1" s="1"/>
  <c r="N308" i="1" s="1"/>
  <c r="K309" i="1" l="1"/>
  <c r="L309" i="1" s="1"/>
  <c r="N309" i="1" l="1"/>
  <c r="K310" i="1" s="1"/>
  <c r="L7" i="1"/>
  <c r="L310" i="1" l="1"/>
  <c r="N310" i="1" s="1"/>
  <c r="K311" i="1" s="1"/>
  <c r="L311" i="1" s="1"/>
  <c r="N311" i="1" s="1"/>
  <c r="K7" i="1"/>
  <c r="K312" i="1" l="1"/>
  <c r="L312" i="1" s="1"/>
  <c r="N312" i="1" s="1"/>
  <c r="K313" i="1" l="1"/>
  <c r="L313" i="1" s="1"/>
  <c r="N313" i="1" s="1"/>
  <c r="K314" i="1" l="1"/>
  <c r="L314" i="1" s="1"/>
  <c r="N314" i="1" s="1"/>
  <c r="K315" i="1" l="1"/>
  <c r="L315" i="1" s="1"/>
  <c r="N315" i="1" s="1"/>
  <c r="K316" i="1" l="1"/>
  <c r="L316" i="1" s="1"/>
  <c r="N316" i="1" s="1"/>
  <c r="K317" i="1" l="1"/>
  <c r="L317" i="1" s="1"/>
  <c r="N317" i="1" s="1"/>
  <c r="K318" i="1" l="1"/>
  <c r="L318" i="1" s="1"/>
  <c r="N318" i="1" s="1"/>
  <c r="K319" i="1" l="1"/>
  <c r="L319" i="1" s="1"/>
  <c r="N319" i="1" s="1"/>
  <c r="K320" i="1" l="1"/>
  <c r="L320" i="1" s="1"/>
  <c r="N320" i="1" s="1"/>
  <c r="K321" i="1" l="1"/>
  <c r="L321" i="1" s="1"/>
  <c r="N321" i="1" s="1"/>
  <c r="K322" i="1" l="1"/>
  <c r="L322" i="1" s="1"/>
  <c r="N322" i="1" s="1"/>
  <c r="K323" i="1" l="1"/>
  <c r="L323" i="1" s="1"/>
  <c r="N323" i="1" s="1"/>
  <c r="K324" i="1" l="1"/>
  <c r="L324" i="1" s="1"/>
  <c r="N324" i="1" s="1"/>
  <c r="K325" i="1" l="1"/>
  <c r="L325" i="1" s="1"/>
  <c r="N325" i="1" s="1"/>
  <c r="K326" i="1" l="1"/>
  <c r="L326" i="1" s="1"/>
  <c r="N326" i="1" s="1"/>
  <c r="K327" i="1" l="1"/>
  <c r="L327" i="1" s="1"/>
  <c r="N327" i="1" s="1"/>
  <c r="K328" i="1" l="1"/>
  <c r="L328" i="1" s="1"/>
  <c r="N328" i="1" s="1"/>
  <c r="K329" i="1" l="1"/>
  <c r="L329" i="1" s="1"/>
  <c r="N329" i="1" s="1"/>
  <c r="K330" i="1" l="1"/>
  <c r="L330" i="1" s="1"/>
  <c r="N330" i="1" s="1"/>
  <c r="K331" i="1" l="1"/>
  <c r="L331" i="1" s="1"/>
  <c r="N331" i="1" s="1"/>
  <c r="K332" i="1" l="1"/>
  <c r="L332" i="1" s="1"/>
  <c r="N332" i="1" s="1"/>
  <c r="K333" i="1" l="1"/>
  <c r="L333" i="1" s="1"/>
  <c r="N333" i="1" s="1"/>
  <c r="K334" i="1" l="1"/>
  <c r="L334" i="1" s="1"/>
  <c r="N334" i="1" s="1"/>
</calcChain>
</file>

<file path=xl/sharedStrings.xml><?xml version="1.0" encoding="utf-8"?>
<sst xmlns="http://schemas.openxmlformats.org/spreadsheetml/2006/main" count="21" uniqueCount="18">
  <si>
    <t>Loan Amount</t>
  </si>
  <si>
    <t>Interest Rate</t>
  </si>
  <si>
    <t>Years</t>
  </si>
  <si>
    <t>PV</t>
  </si>
  <si>
    <t>RATE</t>
  </si>
  <si>
    <t>Nper</t>
  </si>
  <si>
    <t>PMT</t>
  </si>
  <si>
    <t>Monthly</t>
  </si>
  <si>
    <t>Periods</t>
  </si>
  <si>
    <t>Payments</t>
  </si>
  <si>
    <t>Iterest</t>
  </si>
  <si>
    <t>Priciple</t>
  </si>
  <si>
    <t>Extra Payments</t>
  </si>
  <si>
    <t>Loan Balance</t>
  </si>
  <si>
    <t>Total Interest</t>
  </si>
  <si>
    <t>Total Priciple</t>
  </si>
  <si>
    <t>Total Extra Paymemnts</t>
  </si>
  <si>
    <t>Total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</si>
</sst>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4" fontId="0" fillId="0" borderId="0" xfId="0" applyNumberFormat="1"/>
    <xf numFmtId="14" fontId="0" fillId="0" borderId="0" xfId="0" applyNumberFormat="1"/>
    <xf numFmtId="14" fontId="2" fillId="0" borderId="0" xfId="0" applyNumberFormat="1" applyFont="1"/>
    <xf numFmtId="44" fontId="2" fillId="0" borderId="0" xfId="1" applyFont="1" applyAlignment="1">
      <alignment horizontal="center" vertical="center"/>
    </xf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A005-026C-194E-9188-DC1AC8B101FD}">
  <dimension ref="B3:R488"/>
  <sheetViews>
    <sheetView tabSelected="1" topLeftCell="D103" zoomScale="110" workbookViewId="0">
      <selection activeCell="N132" sqref="N132"/>
    </sheetView>
  </sheetViews>
  <sheetFormatPr baseColWidth="10" defaultRowHeight="16" x14ac:dyDescent="0.2"/>
  <cols>
    <col min="2" max="2" width="15.33203125" customWidth="1"/>
    <col min="6" max="6" width="18.1640625" customWidth="1"/>
    <col min="8" max="8" width="10.83203125" style="8"/>
    <col min="9" max="9" width="15.1640625" style="3" customWidth="1"/>
    <col min="10" max="10" width="16.6640625" customWidth="1"/>
    <col min="11" max="11" width="18.33203125" customWidth="1"/>
    <col min="12" max="12" width="20.5" customWidth="1"/>
    <col min="13" max="13" width="19.83203125" customWidth="1"/>
    <col min="14" max="14" width="26.1640625" customWidth="1"/>
    <col min="16" max="16" width="13" bestFit="1" customWidth="1"/>
    <col min="18" max="18" width="12" bestFit="1" customWidth="1"/>
  </cols>
  <sheetData>
    <row r="3" spans="2:14" x14ac:dyDescent="0.2">
      <c r="B3" t="s">
        <v>0</v>
      </c>
      <c r="C3">
        <v>580000</v>
      </c>
      <c r="E3" t="s">
        <v>3</v>
      </c>
      <c r="F3">
        <f>C3</f>
        <v>580000</v>
      </c>
      <c r="G3" t="s">
        <v>7</v>
      </c>
    </row>
    <row r="4" spans="2:14" x14ac:dyDescent="0.2">
      <c r="B4" t="s">
        <v>1</v>
      </c>
      <c r="C4" s="1">
        <v>4.3499999999999997E-2</v>
      </c>
      <c r="E4" t="s">
        <v>4</v>
      </c>
      <c r="F4">
        <f>C4/12</f>
        <v>3.6249999999999998E-3</v>
      </c>
      <c r="G4" t="s">
        <v>7</v>
      </c>
    </row>
    <row r="5" spans="2:14" x14ac:dyDescent="0.2">
      <c r="B5" t="s">
        <v>2</v>
      </c>
      <c r="C5">
        <v>25</v>
      </c>
      <c r="E5" t="s">
        <v>5</v>
      </c>
      <c r="F5">
        <f>C5*12</f>
        <v>300</v>
      </c>
      <c r="G5" t="s">
        <v>7</v>
      </c>
    </row>
    <row r="6" spans="2:14" x14ac:dyDescent="0.2">
      <c r="E6" t="s">
        <v>6</v>
      </c>
      <c r="F6" s="2">
        <f>-PMT(F4,F5,F3)</f>
        <v>3174.6463656185811</v>
      </c>
      <c r="G6" t="s">
        <v>7</v>
      </c>
      <c r="J6" t="s">
        <v>17</v>
      </c>
      <c r="K6" t="s">
        <v>14</v>
      </c>
      <c r="L6" t="s">
        <v>15</v>
      </c>
      <c r="M6" t="s">
        <v>16</v>
      </c>
    </row>
    <row r="7" spans="2:14" x14ac:dyDescent="0.2">
      <c r="J7" s="7">
        <f>SUM(J9:J309)</f>
        <v>952393.90968557168</v>
      </c>
      <c r="K7" s="7">
        <f>SUM(K9:K310)</f>
        <v>175838.95326243216</v>
      </c>
      <c r="L7" s="7">
        <f>SUM(L9:L309)</f>
        <v>775194.87500126287</v>
      </c>
      <c r="M7" s="7">
        <f>SUM(M9:M309)</f>
        <v>180000</v>
      </c>
    </row>
    <row r="8" spans="2:14" x14ac:dyDescent="0.2"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</row>
    <row r="9" spans="2:14" x14ac:dyDescent="0.2">
      <c r="H9" s="8">
        <v>45170</v>
      </c>
      <c r="I9" s="3">
        <v>0</v>
      </c>
      <c r="J9" s="4"/>
      <c r="K9" s="4"/>
      <c r="L9" s="4"/>
      <c r="M9" s="4"/>
      <c r="N9" s="4">
        <f>F3</f>
        <v>580000</v>
      </c>
    </row>
    <row r="10" spans="2:14" x14ac:dyDescent="0.2">
      <c r="H10" s="8">
        <f>EDATE(H9, 1)</f>
        <v>45200</v>
      </c>
      <c r="I10" s="3">
        <f>I9+1</f>
        <v>1</v>
      </c>
      <c r="J10" s="4">
        <f>$F$6</f>
        <v>3174.6463656185811</v>
      </c>
      <c r="K10" s="4">
        <f xml:space="preserve"> N9*$F$4</f>
        <v>2102.5</v>
      </c>
      <c r="L10" s="4">
        <f>J10-K10</f>
        <v>1072.1463656185811</v>
      </c>
      <c r="M10" s="4">
        <v>0</v>
      </c>
      <c r="N10" s="4">
        <f>N9-(L10+M10)</f>
        <v>578927.85363438143</v>
      </c>
    </row>
    <row r="11" spans="2:14" x14ac:dyDescent="0.2">
      <c r="H11" s="8">
        <f t="shared" ref="H11:H74" si="0">EDATE(H10, 1)</f>
        <v>45231</v>
      </c>
      <c r="I11" s="3">
        <f t="shared" ref="I11:I74" si="1">I10+1</f>
        <v>2</v>
      </c>
      <c r="J11" s="4">
        <f t="shared" ref="J11:J74" si="2">$F$6</f>
        <v>3174.6463656185811</v>
      </c>
      <c r="K11" s="4">
        <f t="shared" ref="K11:K74" si="3" xml:space="preserve"> N10*$F$4</f>
        <v>2098.6134694246325</v>
      </c>
      <c r="L11" s="4">
        <f t="shared" ref="L11:L74" si="4">J11-K11</f>
        <v>1076.0328961939485</v>
      </c>
      <c r="M11" s="4">
        <v>0</v>
      </c>
      <c r="N11" s="4">
        <f t="shared" ref="N11:N74" si="5">N10-(L11+M11)</f>
        <v>577851.82073818753</v>
      </c>
    </row>
    <row r="12" spans="2:14" x14ac:dyDescent="0.2">
      <c r="H12" s="8">
        <f t="shared" si="0"/>
        <v>45261</v>
      </c>
      <c r="I12" s="3">
        <f t="shared" si="1"/>
        <v>3</v>
      </c>
      <c r="J12" s="4">
        <f t="shared" si="2"/>
        <v>3174.6463656185811</v>
      </c>
      <c r="K12" s="4">
        <f t="shared" si="3"/>
        <v>2094.7128501759298</v>
      </c>
      <c r="L12" s="4">
        <f t="shared" si="4"/>
        <v>1079.9335154426512</v>
      </c>
      <c r="M12" s="4">
        <v>0</v>
      </c>
      <c r="N12" s="4">
        <f t="shared" si="5"/>
        <v>576771.88722274487</v>
      </c>
    </row>
    <row r="13" spans="2:14" x14ac:dyDescent="0.2">
      <c r="H13" s="8">
        <f t="shared" si="0"/>
        <v>45292</v>
      </c>
      <c r="I13" s="3">
        <f t="shared" si="1"/>
        <v>4</v>
      </c>
      <c r="J13" s="4">
        <f t="shared" si="2"/>
        <v>3174.6463656185811</v>
      </c>
      <c r="K13" s="4">
        <f t="shared" si="3"/>
        <v>2090.7980911824502</v>
      </c>
      <c r="L13" s="4">
        <f t="shared" si="4"/>
        <v>1083.8482744361309</v>
      </c>
      <c r="M13" s="4">
        <v>0</v>
      </c>
      <c r="N13" s="4">
        <f t="shared" si="5"/>
        <v>575688.03894830879</v>
      </c>
    </row>
    <row r="14" spans="2:14" x14ac:dyDescent="0.2">
      <c r="H14" s="8">
        <f t="shared" si="0"/>
        <v>45323</v>
      </c>
      <c r="I14" s="3">
        <f t="shared" si="1"/>
        <v>5</v>
      </c>
      <c r="J14" s="4">
        <f t="shared" si="2"/>
        <v>3174.6463656185811</v>
      </c>
      <c r="K14" s="4">
        <f t="shared" si="3"/>
        <v>2086.8691411876193</v>
      </c>
      <c r="L14" s="4">
        <f t="shared" si="4"/>
        <v>1087.7772244309617</v>
      </c>
      <c r="M14" s="4">
        <v>0</v>
      </c>
      <c r="N14" s="4">
        <f t="shared" si="5"/>
        <v>574600.26172387786</v>
      </c>
    </row>
    <row r="15" spans="2:14" x14ac:dyDescent="0.2">
      <c r="H15" s="8">
        <f t="shared" si="0"/>
        <v>45352</v>
      </c>
      <c r="I15" s="3">
        <f t="shared" si="1"/>
        <v>6</v>
      </c>
      <c r="J15" s="4">
        <f t="shared" si="2"/>
        <v>3174.6463656185811</v>
      </c>
      <c r="K15" s="4">
        <f t="shared" si="3"/>
        <v>2082.9259487490572</v>
      </c>
      <c r="L15" s="4">
        <f t="shared" si="4"/>
        <v>1091.7204168695239</v>
      </c>
      <c r="M15" s="4">
        <v>0</v>
      </c>
      <c r="N15" s="4">
        <f t="shared" si="5"/>
        <v>573508.54130700836</v>
      </c>
    </row>
    <row r="16" spans="2:14" x14ac:dyDescent="0.2">
      <c r="H16" s="8">
        <f t="shared" si="0"/>
        <v>45383</v>
      </c>
      <c r="I16" s="3">
        <f t="shared" si="1"/>
        <v>7</v>
      </c>
      <c r="J16" s="4">
        <f t="shared" si="2"/>
        <v>3174.6463656185811</v>
      </c>
      <c r="K16" s="4">
        <f t="shared" si="3"/>
        <v>2078.968462237905</v>
      </c>
      <c r="L16" s="4">
        <f t="shared" si="4"/>
        <v>1095.6779033806761</v>
      </c>
      <c r="M16" s="4">
        <v>0</v>
      </c>
      <c r="N16" s="4">
        <f t="shared" si="5"/>
        <v>572412.86340362765</v>
      </c>
    </row>
    <row r="17" spans="8:14" x14ac:dyDescent="0.2">
      <c r="H17" s="8">
        <f t="shared" si="0"/>
        <v>45413</v>
      </c>
      <c r="I17" s="3">
        <f t="shared" si="1"/>
        <v>8</v>
      </c>
      <c r="J17" s="4">
        <f t="shared" si="2"/>
        <v>3174.6463656185811</v>
      </c>
      <c r="K17" s="4">
        <f t="shared" si="3"/>
        <v>2074.9966298381501</v>
      </c>
      <c r="L17" s="4">
        <f t="shared" si="4"/>
        <v>1099.649735780431</v>
      </c>
      <c r="M17" s="4">
        <v>0</v>
      </c>
      <c r="N17" s="4">
        <f t="shared" si="5"/>
        <v>571313.21366784722</v>
      </c>
    </row>
    <row r="18" spans="8:14" x14ac:dyDescent="0.2">
      <c r="H18" s="8">
        <f t="shared" si="0"/>
        <v>45444</v>
      </c>
      <c r="I18" s="3">
        <f t="shared" si="1"/>
        <v>9</v>
      </c>
      <c r="J18" s="4">
        <f t="shared" si="2"/>
        <v>3174.6463656185811</v>
      </c>
      <c r="K18" s="4">
        <f t="shared" si="3"/>
        <v>2071.0103995459458</v>
      </c>
      <c r="L18" s="4">
        <f t="shared" si="4"/>
        <v>1103.6359660726353</v>
      </c>
      <c r="M18" s="4">
        <v>0</v>
      </c>
      <c r="N18" s="4">
        <f t="shared" si="5"/>
        <v>570209.57770177454</v>
      </c>
    </row>
    <row r="19" spans="8:14" x14ac:dyDescent="0.2">
      <c r="H19" s="8">
        <f t="shared" si="0"/>
        <v>45474</v>
      </c>
      <c r="I19" s="3">
        <f t="shared" si="1"/>
        <v>10</v>
      </c>
      <c r="J19" s="4">
        <f t="shared" si="2"/>
        <v>3174.6463656185811</v>
      </c>
      <c r="K19" s="4">
        <f t="shared" si="3"/>
        <v>2067.0097191689324</v>
      </c>
      <c r="L19" s="4">
        <f t="shared" si="4"/>
        <v>1107.6366464496487</v>
      </c>
      <c r="M19" s="4">
        <v>0</v>
      </c>
      <c r="N19" s="4">
        <f t="shared" si="5"/>
        <v>569101.94105532486</v>
      </c>
    </row>
    <row r="20" spans="8:14" x14ac:dyDescent="0.2">
      <c r="H20" s="8">
        <f t="shared" si="0"/>
        <v>45505</v>
      </c>
      <c r="I20" s="3">
        <f t="shared" si="1"/>
        <v>11</v>
      </c>
      <c r="J20" s="4">
        <f t="shared" si="2"/>
        <v>3174.6463656185811</v>
      </c>
      <c r="K20" s="4">
        <f t="shared" si="3"/>
        <v>2062.9945363255524</v>
      </c>
      <c r="L20" s="4">
        <f t="shared" si="4"/>
        <v>1111.6518292930286</v>
      </c>
      <c r="M20" s="4">
        <v>0</v>
      </c>
      <c r="N20" s="4">
        <f t="shared" si="5"/>
        <v>567990.28922603186</v>
      </c>
    </row>
    <row r="21" spans="8:14" x14ac:dyDescent="0.2">
      <c r="H21" s="8">
        <f t="shared" si="0"/>
        <v>45536</v>
      </c>
      <c r="I21" s="3">
        <f t="shared" si="1"/>
        <v>12</v>
      </c>
      <c r="J21" s="4">
        <f t="shared" si="2"/>
        <v>3174.6463656185811</v>
      </c>
      <c r="K21" s="4">
        <f t="shared" si="3"/>
        <v>2058.9647984443654</v>
      </c>
      <c r="L21" s="4">
        <f t="shared" si="4"/>
        <v>1115.6815671742156</v>
      </c>
      <c r="M21" s="4">
        <v>0</v>
      </c>
      <c r="N21" s="4">
        <f t="shared" si="5"/>
        <v>566874.6076588576</v>
      </c>
    </row>
    <row r="22" spans="8:14" x14ac:dyDescent="0.2">
      <c r="H22" s="8">
        <f t="shared" si="0"/>
        <v>45566</v>
      </c>
      <c r="I22" s="3">
        <f t="shared" si="1"/>
        <v>13</v>
      </c>
      <c r="J22" s="4">
        <f t="shared" si="2"/>
        <v>3174.6463656185811</v>
      </c>
      <c r="K22" s="4">
        <f t="shared" si="3"/>
        <v>2054.9204527633588</v>
      </c>
      <c r="L22" s="4">
        <f t="shared" si="4"/>
        <v>1119.7259128552223</v>
      </c>
      <c r="M22" s="4">
        <v>0</v>
      </c>
      <c r="N22" s="4">
        <f t="shared" si="5"/>
        <v>565754.88174600236</v>
      </c>
    </row>
    <row r="23" spans="8:14" x14ac:dyDescent="0.2">
      <c r="H23" s="8">
        <f t="shared" si="0"/>
        <v>45597</v>
      </c>
      <c r="I23" s="3">
        <f t="shared" si="1"/>
        <v>14</v>
      </c>
      <c r="J23" s="4">
        <f t="shared" si="2"/>
        <v>3174.6463656185811</v>
      </c>
      <c r="K23" s="4">
        <f t="shared" si="3"/>
        <v>2050.8614463292583</v>
      </c>
      <c r="L23" s="4">
        <f t="shared" si="4"/>
        <v>1123.7849192893227</v>
      </c>
      <c r="M23" s="4">
        <v>0</v>
      </c>
      <c r="N23" s="4">
        <f t="shared" si="5"/>
        <v>564631.09682671307</v>
      </c>
    </row>
    <row r="24" spans="8:14" x14ac:dyDescent="0.2">
      <c r="H24" s="8">
        <f t="shared" si="0"/>
        <v>45627</v>
      </c>
      <c r="I24" s="3">
        <f t="shared" si="1"/>
        <v>15</v>
      </c>
      <c r="J24" s="4">
        <f t="shared" si="2"/>
        <v>3174.6463656185811</v>
      </c>
      <c r="K24" s="4">
        <f t="shared" si="3"/>
        <v>2046.7877259968348</v>
      </c>
      <c r="L24" s="4">
        <f t="shared" si="4"/>
        <v>1127.8586396217463</v>
      </c>
      <c r="M24" s="4">
        <v>0</v>
      </c>
      <c r="N24" s="4">
        <f t="shared" si="5"/>
        <v>563503.23818709131</v>
      </c>
    </row>
    <row r="25" spans="8:14" x14ac:dyDescent="0.2">
      <c r="H25" s="8">
        <f t="shared" si="0"/>
        <v>45658</v>
      </c>
      <c r="I25" s="3">
        <f t="shared" si="1"/>
        <v>16</v>
      </c>
      <c r="J25" s="4">
        <f t="shared" si="2"/>
        <v>3174.6463656185811</v>
      </c>
      <c r="K25" s="4">
        <f t="shared" si="3"/>
        <v>2042.6992384282059</v>
      </c>
      <c r="L25" s="4">
        <f t="shared" si="4"/>
        <v>1131.9471271903751</v>
      </c>
      <c r="M25" s="4">
        <v>0</v>
      </c>
      <c r="N25" s="4">
        <f t="shared" si="5"/>
        <v>562371.29105990089</v>
      </c>
    </row>
    <row r="26" spans="8:14" x14ac:dyDescent="0.2">
      <c r="H26" s="8">
        <f t="shared" si="0"/>
        <v>45689</v>
      </c>
      <c r="I26" s="3">
        <f t="shared" si="1"/>
        <v>17</v>
      </c>
      <c r="J26" s="4">
        <f t="shared" si="2"/>
        <v>3174.6463656185811</v>
      </c>
      <c r="K26" s="4">
        <f t="shared" si="3"/>
        <v>2038.5959300921406</v>
      </c>
      <c r="L26" s="4">
        <f t="shared" si="4"/>
        <v>1136.0504355264404</v>
      </c>
      <c r="M26" s="4">
        <v>0</v>
      </c>
      <c r="N26" s="4">
        <f t="shared" si="5"/>
        <v>561235.24062437448</v>
      </c>
    </row>
    <row r="27" spans="8:14" x14ac:dyDescent="0.2">
      <c r="H27" s="8">
        <f t="shared" si="0"/>
        <v>45717</v>
      </c>
      <c r="I27" s="3">
        <f t="shared" si="1"/>
        <v>18</v>
      </c>
      <c r="J27" s="4">
        <f t="shared" si="2"/>
        <v>3174.6463656185811</v>
      </c>
      <c r="K27" s="4">
        <f t="shared" si="3"/>
        <v>2034.4777472633573</v>
      </c>
      <c r="L27" s="4">
        <f t="shared" si="4"/>
        <v>1140.1686183552238</v>
      </c>
      <c r="M27" s="4">
        <v>0</v>
      </c>
      <c r="N27" s="4">
        <f t="shared" si="5"/>
        <v>560095.0720060193</v>
      </c>
    </row>
    <row r="28" spans="8:14" x14ac:dyDescent="0.2">
      <c r="H28" s="8">
        <f t="shared" si="0"/>
        <v>45748</v>
      </c>
      <c r="I28" s="3">
        <f t="shared" si="1"/>
        <v>19</v>
      </c>
      <c r="J28" s="4">
        <f t="shared" si="2"/>
        <v>3174.6463656185811</v>
      </c>
      <c r="K28" s="4">
        <f t="shared" si="3"/>
        <v>2030.3446360218197</v>
      </c>
      <c r="L28" s="4">
        <f t="shared" si="4"/>
        <v>1144.3017295967613</v>
      </c>
      <c r="M28" s="4">
        <v>0</v>
      </c>
      <c r="N28" s="4">
        <f t="shared" si="5"/>
        <v>558950.7702764225</v>
      </c>
    </row>
    <row r="29" spans="8:14" x14ac:dyDescent="0.2">
      <c r="H29" s="8">
        <f t="shared" si="0"/>
        <v>45778</v>
      </c>
      <c r="I29" s="3">
        <f t="shared" si="1"/>
        <v>20</v>
      </c>
      <c r="J29" s="4">
        <f t="shared" si="2"/>
        <v>3174.6463656185811</v>
      </c>
      <c r="K29" s="4">
        <f t="shared" si="3"/>
        <v>2026.1965422520313</v>
      </c>
      <c r="L29" s="4">
        <f t="shared" si="4"/>
        <v>1148.4498233665497</v>
      </c>
      <c r="M29" s="4">
        <v>0</v>
      </c>
      <c r="N29" s="4">
        <f t="shared" si="5"/>
        <v>557802.3204530559</v>
      </c>
    </row>
    <row r="30" spans="8:14" x14ac:dyDescent="0.2">
      <c r="H30" s="8">
        <f t="shared" si="0"/>
        <v>45809</v>
      </c>
      <c r="I30" s="3">
        <f t="shared" si="1"/>
        <v>21</v>
      </c>
      <c r="J30" s="4">
        <f t="shared" si="2"/>
        <v>3174.6463656185811</v>
      </c>
      <c r="K30" s="4">
        <f t="shared" si="3"/>
        <v>2022.0334116423276</v>
      </c>
      <c r="L30" s="4">
        <f t="shared" si="4"/>
        <v>1152.6129539762535</v>
      </c>
      <c r="M30" s="4">
        <v>0</v>
      </c>
      <c r="N30" s="4">
        <f t="shared" si="5"/>
        <v>556649.70749907964</v>
      </c>
    </row>
    <row r="31" spans="8:14" x14ac:dyDescent="0.2">
      <c r="H31" s="8">
        <f t="shared" si="0"/>
        <v>45839</v>
      </c>
      <c r="I31" s="3">
        <f t="shared" si="1"/>
        <v>22</v>
      </c>
      <c r="J31" s="4">
        <f t="shared" si="2"/>
        <v>3174.6463656185811</v>
      </c>
      <c r="K31" s="4">
        <f t="shared" si="3"/>
        <v>2017.8551896841636</v>
      </c>
      <c r="L31" s="4">
        <f t="shared" si="4"/>
        <v>1156.7911759344174</v>
      </c>
      <c r="M31" s="4">
        <v>0</v>
      </c>
      <c r="N31" s="4">
        <f t="shared" si="5"/>
        <v>555492.91632314527</v>
      </c>
    </row>
    <row r="32" spans="8:14" x14ac:dyDescent="0.2">
      <c r="H32" s="8">
        <f t="shared" si="0"/>
        <v>45870</v>
      </c>
      <c r="I32" s="3">
        <f t="shared" si="1"/>
        <v>23</v>
      </c>
      <c r="J32" s="4">
        <f t="shared" si="2"/>
        <v>3174.6463656185811</v>
      </c>
      <c r="K32" s="4">
        <f t="shared" si="3"/>
        <v>2013.6618216714014</v>
      </c>
      <c r="L32" s="4">
        <f t="shared" si="4"/>
        <v>1160.9845439471796</v>
      </c>
      <c r="M32" s="4">
        <v>0</v>
      </c>
      <c r="N32" s="4">
        <f t="shared" si="5"/>
        <v>554331.93177919812</v>
      </c>
    </row>
    <row r="33" spans="8:14" x14ac:dyDescent="0.2">
      <c r="H33" s="8">
        <f t="shared" si="0"/>
        <v>45901</v>
      </c>
      <c r="I33" s="3">
        <f t="shared" si="1"/>
        <v>24</v>
      </c>
      <c r="J33" s="4">
        <f t="shared" si="2"/>
        <v>3174.6463656185811</v>
      </c>
      <c r="K33" s="4">
        <f t="shared" si="3"/>
        <v>2009.4532526995931</v>
      </c>
      <c r="L33" s="4">
        <f t="shared" si="4"/>
        <v>1165.1931129189879</v>
      </c>
      <c r="M33" s="4">
        <v>0</v>
      </c>
      <c r="N33" s="4">
        <f t="shared" si="5"/>
        <v>553166.73866627913</v>
      </c>
    </row>
    <row r="34" spans="8:14" x14ac:dyDescent="0.2">
      <c r="H34" s="8">
        <f t="shared" si="0"/>
        <v>45931</v>
      </c>
      <c r="I34" s="3">
        <f t="shared" si="1"/>
        <v>25</v>
      </c>
      <c r="J34" s="4">
        <f t="shared" si="2"/>
        <v>3174.6463656185811</v>
      </c>
      <c r="K34" s="4">
        <f t="shared" si="3"/>
        <v>2005.2294276652617</v>
      </c>
      <c r="L34" s="4">
        <f t="shared" si="4"/>
        <v>1169.4169379533193</v>
      </c>
      <c r="M34" s="4">
        <v>0</v>
      </c>
      <c r="N34" s="4">
        <f t="shared" si="5"/>
        <v>551997.3217283258</v>
      </c>
    </row>
    <row r="35" spans="8:14" x14ac:dyDescent="0.2">
      <c r="H35" s="8">
        <f t="shared" si="0"/>
        <v>45962</v>
      </c>
      <c r="I35" s="3">
        <f t="shared" si="1"/>
        <v>26</v>
      </c>
      <c r="J35" s="4">
        <f t="shared" si="2"/>
        <v>3174.6463656185811</v>
      </c>
      <c r="K35" s="4">
        <f t="shared" si="3"/>
        <v>2000.990291265181</v>
      </c>
      <c r="L35" s="4">
        <f t="shared" si="4"/>
        <v>1173.6560743534001</v>
      </c>
      <c r="M35" s="4">
        <v>0</v>
      </c>
      <c r="N35" s="4">
        <f t="shared" si="5"/>
        <v>550823.66565397242</v>
      </c>
    </row>
    <row r="36" spans="8:14" x14ac:dyDescent="0.2">
      <c r="H36" s="9">
        <f t="shared" si="0"/>
        <v>45992</v>
      </c>
      <c r="I36" s="6">
        <f t="shared" si="1"/>
        <v>27</v>
      </c>
      <c r="J36" s="10">
        <f t="shared" si="2"/>
        <v>3174.6463656185811</v>
      </c>
      <c r="K36" s="10">
        <f t="shared" si="3"/>
        <v>1996.7357879956498</v>
      </c>
      <c r="L36" s="10">
        <f t="shared" si="4"/>
        <v>1177.9105776229312</v>
      </c>
      <c r="M36" s="10">
        <v>10000</v>
      </c>
      <c r="N36" s="10">
        <f t="shared" si="5"/>
        <v>539645.75507634948</v>
      </c>
    </row>
    <row r="37" spans="8:14" x14ac:dyDescent="0.2">
      <c r="H37" s="8">
        <f t="shared" si="0"/>
        <v>46023</v>
      </c>
      <c r="I37" s="3">
        <f t="shared" si="1"/>
        <v>28</v>
      </c>
      <c r="J37" s="4">
        <f t="shared" si="2"/>
        <v>3174.6463656185811</v>
      </c>
      <c r="K37" s="4">
        <f t="shared" si="3"/>
        <v>1956.2158621517667</v>
      </c>
      <c r="L37" s="4">
        <f t="shared" si="4"/>
        <v>1218.4305034668143</v>
      </c>
      <c r="M37" s="4"/>
      <c r="N37" s="4">
        <f t="shared" si="5"/>
        <v>538427.32457288262</v>
      </c>
    </row>
    <row r="38" spans="8:14" x14ac:dyDescent="0.2">
      <c r="H38" s="8">
        <f t="shared" si="0"/>
        <v>46054</v>
      </c>
      <c r="I38" s="3">
        <f t="shared" si="1"/>
        <v>29</v>
      </c>
      <c r="J38" s="4">
        <f t="shared" si="2"/>
        <v>3174.6463656185811</v>
      </c>
      <c r="K38" s="4">
        <f t="shared" si="3"/>
        <v>1951.7990515766994</v>
      </c>
      <c r="L38" s="4">
        <f t="shared" si="4"/>
        <v>1222.8473140418816</v>
      </c>
      <c r="M38" s="4"/>
      <c r="N38" s="4">
        <f t="shared" si="5"/>
        <v>537204.47725884069</v>
      </c>
    </row>
    <row r="39" spans="8:14" x14ac:dyDescent="0.2">
      <c r="H39" s="8">
        <f t="shared" si="0"/>
        <v>46082</v>
      </c>
      <c r="I39" s="3">
        <f t="shared" si="1"/>
        <v>30</v>
      </c>
      <c r="J39" s="4">
        <f t="shared" si="2"/>
        <v>3174.6463656185811</v>
      </c>
      <c r="K39" s="4">
        <f t="shared" si="3"/>
        <v>1947.3662300632973</v>
      </c>
      <c r="L39" s="4">
        <f t="shared" si="4"/>
        <v>1227.2801355552838</v>
      </c>
      <c r="M39" s="4"/>
      <c r="N39" s="4">
        <f t="shared" si="5"/>
        <v>535977.19712328538</v>
      </c>
    </row>
    <row r="40" spans="8:14" x14ac:dyDescent="0.2">
      <c r="H40" s="8">
        <f t="shared" si="0"/>
        <v>46113</v>
      </c>
      <c r="I40" s="3">
        <f t="shared" si="1"/>
        <v>31</v>
      </c>
      <c r="J40" s="4">
        <f t="shared" si="2"/>
        <v>3174.6463656185811</v>
      </c>
      <c r="K40" s="4">
        <f t="shared" si="3"/>
        <v>1942.9173395719095</v>
      </c>
      <c r="L40" s="4">
        <f t="shared" si="4"/>
        <v>1231.7290260466716</v>
      </c>
      <c r="M40" s="4"/>
      <c r="N40" s="4">
        <f t="shared" si="5"/>
        <v>534745.46809723869</v>
      </c>
    </row>
    <row r="41" spans="8:14" x14ac:dyDescent="0.2">
      <c r="H41" s="8">
        <f t="shared" si="0"/>
        <v>46143</v>
      </c>
      <c r="I41" s="3">
        <f t="shared" si="1"/>
        <v>32</v>
      </c>
      <c r="J41" s="4">
        <f t="shared" si="2"/>
        <v>3174.6463656185811</v>
      </c>
      <c r="K41" s="4">
        <f t="shared" si="3"/>
        <v>1938.4523218524901</v>
      </c>
      <c r="L41" s="4">
        <f t="shared" si="4"/>
        <v>1236.194043766091</v>
      </c>
      <c r="M41" s="4"/>
      <c r="N41" s="4">
        <f t="shared" si="5"/>
        <v>533509.27405347256</v>
      </c>
    </row>
    <row r="42" spans="8:14" x14ac:dyDescent="0.2">
      <c r="H42" s="8">
        <f t="shared" si="0"/>
        <v>46174</v>
      </c>
      <c r="I42" s="3">
        <f t="shared" si="1"/>
        <v>33</v>
      </c>
      <c r="J42" s="4">
        <f t="shared" si="2"/>
        <v>3174.6463656185811</v>
      </c>
      <c r="K42" s="4">
        <f t="shared" si="3"/>
        <v>1933.9711184438379</v>
      </c>
      <c r="L42" s="4">
        <f t="shared" si="4"/>
        <v>1240.6752471747432</v>
      </c>
      <c r="M42" s="4"/>
      <c r="N42" s="4">
        <f t="shared" si="5"/>
        <v>532268.59880629787</v>
      </c>
    </row>
    <row r="43" spans="8:14" x14ac:dyDescent="0.2">
      <c r="H43" s="8">
        <f t="shared" si="0"/>
        <v>46204</v>
      </c>
      <c r="I43" s="3">
        <f t="shared" si="1"/>
        <v>34</v>
      </c>
      <c r="J43" s="4">
        <f t="shared" si="2"/>
        <v>3174.6463656185811</v>
      </c>
      <c r="K43" s="4">
        <f t="shared" si="3"/>
        <v>1929.4736706728297</v>
      </c>
      <c r="L43" s="4">
        <f t="shared" si="4"/>
        <v>1245.1726949457513</v>
      </c>
      <c r="M43" s="4"/>
      <c r="N43" s="4">
        <f t="shared" si="5"/>
        <v>531023.42611135216</v>
      </c>
    </row>
    <row r="44" spans="8:14" x14ac:dyDescent="0.2">
      <c r="H44" s="8">
        <f t="shared" si="0"/>
        <v>46235</v>
      </c>
      <c r="I44" s="3">
        <f t="shared" si="1"/>
        <v>35</v>
      </c>
      <c r="J44" s="4">
        <f t="shared" si="2"/>
        <v>3174.6463656185811</v>
      </c>
      <c r="K44" s="4">
        <f t="shared" si="3"/>
        <v>1924.9599196536515</v>
      </c>
      <c r="L44" s="4">
        <f t="shared" si="4"/>
        <v>1249.6864459649296</v>
      </c>
      <c r="M44" s="4"/>
      <c r="N44" s="4">
        <f t="shared" si="5"/>
        <v>529773.7396653872</v>
      </c>
    </row>
    <row r="45" spans="8:14" x14ac:dyDescent="0.2">
      <c r="H45" s="8">
        <f t="shared" si="0"/>
        <v>46266</v>
      </c>
      <c r="I45" s="3">
        <f t="shared" si="1"/>
        <v>36</v>
      </c>
      <c r="J45" s="4">
        <f t="shared" si="2"/>
        <v>3174.6463656185811</v>
      </c>
      <c r="K45" s="4">
        <f t="shared" si="3"/>
        <v>1920.4298062870284</v>
      </c>
      <c r="L45" s="4">
        <f t="shared" si="4"/>
        <v>1254.2165593315526</v>
      </c>
      <c r="M45" s="4"/>
      <c r="N45" s="4">
        <f t="shared" si="5"/>
        <v>528519.52310605568</v>
      </c>
    </row>
    <row r="46" spans="8:14" x14ac:dyDescent="0.2">
      <c r="H46" s="8">
        <f t="shared" si="0"/>
        <v>46296</v>
      </c>
      <c r="I46" s="3">
        <f t="shared" si="1"/>
        <v>37</v>
      </c>
      <c r="J46" s="4">
        <f t="shared" si="2"/>
        <v>3174.6463656185811</v>
      </c>
      <c r="K46" s="4">
        <f t="shared" si="3"/>
        <v>1915.8832712594517</v>
      </c>
      <c r="L46" s="4">
        <f t="shared" si="4"/>
        <v>1258.7630943591294</v>
      </c>
      <c r="M46" s="4"/>
      <c r="N46" s="4">
        <f t="shared" si="5"/>
        <v>527260.76001169661</v>
      </c>
    </row>
    <row r="47" spans="8:14" x14ac:dyDescent="0.2">
      <c r="H47" s="8">
        <f t="shared" si="0"/>
        <v>46327</v>
      </c>
      <c r="I47" s="3">
        <f t="shared" si="1"/>
        <v>38</v>
      </c>
      <c r="J47" s="4">
        <f t="shared" si="2"/>
        <v>3174.6463656185811</v>
      </c>
      <c r="K47" s="4">
        <f t="shared" si="3"/>
        <v>1911.3202550424</v>
      </c>
      <c r="L47" s="4">
        <f t="shared" si="4"/>
        <v>1263.326110576181</v>
      </c>
      <c r="M47" s="4"/>
      <c r="N47" s="4">
        <f t="shared" si="5"/>
        <v>525997.43390112044</v>
      </c>
    </row>
    <row r="48" spans="8:14" x14ac:dyDescent="0.2">
      <c r="H48" s="9">
        <f t="shared" si="0"/>
        <v>46357</v>
      </c>
      <c r="I48" s="6">
        <f t="shared" si="1"/>
        <v>39</v>
      </c>
      <c r="J48" s="10">
        <f t="shared" si="2"/>
        <v>3174.6463656185811</v>
      </c>
      <c r="K48" s="10">
        <f t="shared" si="3"/>
        <v>1906.7406978915615</v>
      </c>
      <c r="L48" s="10">
        <f t="shared" si="4"/>
        <v>1267.9056677270196</v>
      </c>
      <c r="M48" s="10">
        <v>10000</v>
      </c>
      <c r="N48" s="10">
        <f t="shared" si="5"/>
        <v>514729.52823339344</v>
      </c>
    </row>
    <row r="49" spans="8:14" x14ac:dyDescent="0.2">
      <c r="H49" s="8">
        <f t="shared" si="0"/>
        <v>46388</v>
      </c>
      <c r="I49" s="3">
        <f t="shared" si="1"/>
        <v>40</v>
      </c>
      <c r="J49" s="4">
        <f t="shared" si="2"/>
        <v>3174.6463656185811</v>
      </c>
      <c r="K49" s="4">
        <f t="shared" si="3"/>
        <v>1865.8945398460512</v>
      </c>
      <c r="L49" s="4">
        <f t="shared" si="4"/>
        <v>1308.7518257725299</v>
      </c>
      <c r="M49" s="4"/>
      <c r="N49" s="4">
        <f t="shared" si="5"/>
        <v>513420.77640762093</v>
      </c>
    </row>
    <row r="50" spans="8:14" x14ac:dyDescent="0.2">
      <c r="H50" s="8">
        <f t="shared" si="0"/>
        <v>46419</v>
      </c>
      <c r="I50" s="3">
        <f t="shared" si="1"/>
        <v>41</v>
      </c>
      <c r="J50" s="4">
        <f t="shared" si="2"/>
        <v>3174.6463656185811</v>
      </c>
      <c r="K50" s="4">
        <f t="shared" si="3"/>
        <v>1861.1503144776257</v>
      </c>
      <c r="L50" s="4">
        <f t="shared" si="4"/>
        <v>1313.4960511409554</v>
      </c>
      <c r="M50" s="4"/>
      <c r="N50" s="4">
        <f t="shared" si="5"/>
        <v>512107.28035647998</v>
      </c>
    </row>
    <row r="51" spans="8:14" x14ac:dyDescent="0.2">
      <c r="H51" s="8">
        <f t="shared" si="0"/>
        <v>46447</v>
      </c>
      <c r="I51" s="3">
        <f t="shared" si="1"/>
        <v>42</v>
      </c>
      <c r="J51" s="4">
        <f t="shared" si="2"/>
        <v>3174.6463656185811</v>
      </c>
      <c r="K51" s="4">
        <f t="shared" si="3"/>
        <v>1856.3888912922398</v>
      </c>
      <c r="L51" s="4">
        <f t="shared" si="4"/>
        <v>1318.2574743263413</v>
      </c>
      <c r="M51" s="4"/>
      <c r="N51" s="4">
        <f t="shared" si="5"/>
        <v>510789.02288215363</v>
      </c>
    </row>
    <row r="52" spans="8:14" x14ac:dyDescent="0.2">
      <c r="H52" s="8">
        <f t="shared" si="0"/>
        <v>46478</v>
      </c>
      <c r="I52" s="3">
        <f t="shared" si="1"/>
        <v>43</v>
      </c>
      <c r="J52" s="4">
        <f t="shared" si="2"/>
        <v>3174.6463656185811</v>
      </c>
      <c r="K52" s="4">
        <f t="shared" si="3"/>
        <v>1851.6102079478069</v>
      </c>
      <c r="L52" s="4">
        <f t="shared" si="4"/>
        <v>1323.0361576707742</v>
      </c>
      <c r="M52" s="4"/>
      <c r="N52" s="4">
        <f t="shared" si="5"/>
        <v>509465.98672448285</v>
      </c>
    </row>
    <row r="53" spans="8:14" x14ac:dyDescent="0.2">
      <c r="H53" s="8">
        <f t="shared" si="0"/>
        <v>46508</v>
      </c>
      <c r="I53" s="3">
        <f t="shared" si="1"/>
        <v>44</v>
      </c>
      <c r="J53" s="4">
        <f t="shared" si="2"/>
        <v>3174.6463656185811</v>
      </c>
      <c r="K53" s="4">
        <f t="shared" si="3"/>
        <v>1846.8142018762503</v>
      </c>
      <c r="L53" s="4">
        <f t="shared" si="4"/>
        <v>1327.8321637423307</v>
      </c>
      <c r="M53" s="4"/>
      <c r="N53" s="4">
        <f t="shared" si="5"/>
        <v>508138.15456074051</v>
      </c>
    </row>
    <row r="54" spans="8:14" x14ac:dyDescent="0.2">
      <c r="H54" s="8">
        <f t="shared" si="0"/>
        <v>46539</v>
      </c>
      <c r="I54" s="3">
        <f t="shared" si="1"/>
        <v>45</v>
      </c>
      <c r="J54" s="4">
        <f t="shared" si="2"/>
        <v>3174.6463656185811</v>
      </c>
      <c r="K54" s="4">
        <f t="shared" si="3"/>
        <v>1842.0008102826841</v>
      </c>
      <c r="L54" s="4">
        <f t="shared" si="4"/>
        <v>1332.6455553358969</v>
      </c>
      <c r="M54" s="4"/>
      <c r="N54" s="4">
        <f t="shared" si="5"/>
        <v>506805.5090054046</v>
      </c>
    </row>
    <row r="55" spans="8:14" x14ac:dyDescent="0.2">
      <c r="H55" s="8">
        <f t="shared" si="0"/>
        <v>46569</v>
      </c>
      <c r="I55" s="3">
        <f t="shared" si="1"/>
        <v>46</v>
      </c>
      <c r="J55" s="4">
        <f t="shared" si="2"/>
        <v>3174.6463656185811</v>
      </c>
      <c r="K55" s="4">
        <f t="shared" si="3"/>
        <v>1837.1699701445916</v>
      </c>
      <c r="L55" s="4">
        <f t="shared" si="4"/>
        <v>1337.4763954739894</v>
      </c>
      <c r="M55" s="4"/>
      <c r="N55" s="4">
        <f t="shared" si="5"/>
        <v>505468.03260993061</v>
      </c>
    </row>
    <row r="56" spans="8:14" x14ac:dyDescent="0.2">
      <c r="H56" s="8">
        <f t="shared" si="0"/>
        <v>46600</v>
      </c>
      <c r="I56" s="3">
        <f t="shared" si="1"/>
        <v>47</v>
      </c>
      <c r="J56" s="4">
        <f t="shared" si="2"/>
        <v>3174.6463656185811</v>
      </c>
      <c r="K56" s="4">
        <f t="shared" si="3"/>
        <v>1832.3216182109984</v>
      </c>
      <c r="L56" s="4">
        <f t="shared" si="4"/>
        <v>1342.3247474075827</v>
      </c>
      <c r="M56" s="4"/>
      <c r="N56" s="4">
        <f t="shared" si="5"/>
        <v>504125.70786252304</v>
      </c>
    </row>
    <row r="57" spans="8:14" x14ac:dyDescent="0.2">
      <c r="H57" s="8">
        <f t="shared" si="0"/>
        <v>46631</v>
      </c>
      <c r="I57" s="3">
        <f t="shared" si="1"/>
        <v>48</v>
      </c>
      <c r="J57" s="4">
        <f t="shared" si="2"/>
        <v>3174.6463656185811</v>
      </c>
      <c r="K57" s="4">
        <f t="shared" si="3"/>
        <v>1827.4556910016458</v>
      </c>
      <c r="L57" s="4">
        <f t="shared" si="4"/>
        <v>1347.1906746169352</v>
      </c>
      <c r="M57" s="4"/>
      <c r="N57" s="4">
        <f t="shared" si="5"/>
        <v>502778.51718790608</v>
      </c>
    </row>
    <row r="58" spans="8:14" x14ac:dyDescent="0.2">
      <c r="H58" s="8">
        <f t="shared" si="0"/>
        <v>46661</v>
      </c>
      <c r="I58" s="3">
        <f t="shared" si="1"/>
        <v>49</v>
      </c>
      <c r="J58" s="4">
        <f t="shared" si="2"/>
        <v>3174.6463656185811</v>
      </c>
      <c r="K58" s="4">
        <f t="shared" si="3"/>
        <v>1822.5721248061593</v>
      </c>
      <c r="L58" s="4">
        <f t="shared" si="4"/>
        <v>1352.0742408124217</v>
      </c>
      <c r="M58" s="4"/>
      <c r="N58" s="4">
        <f t="shared" si="5"/>
        <v>501426.44294709363</v>
      </c>
    </row>
    <row r="59" spans="8:14" x14ac:dyDescent="0.2">
      <c r="H59" s="8">
        <f t="shared" si="0"/>
        <v>46692</v>
      </c>
      <c r="I59" s="3">
        <f t="shared" si="1"/>
        <v>50</v>
      </c>
      <c r="J59" s="4">
        <f t="shared" si="2"/>
        <v>3174.6463656185811</v>
      </c>
      <c r="K59" s="4">
        <f t="shared" si="3"/>
        <v>1817.6708556832143</v>
      </c>
      <c r="L59" s="4">
        <f t="shared" si="4"/>
        <v>1356.9755099353667</v>
      </c>
      <c r="M59" s="4"/>
      <c r="N59" s="4">
        <f t="shared" si="5"/>
        <v>500069.46743715828</v>
      </c>
    </row>
    <row r="60" spans="8:14" x14ac:dyDescent="0.2">
      <c r="H60" s="9">
        <f t="shared" si="0"/>
        <v>46722</v>
      </c>
      <c r="I60" s="6">
        <f t="shared" si="1"/>
        <v>51</v>
      </c>
      <c r="J60" s="10">
        <f t="shared" si="2"/>
        <v>3174.6463656185811</v>
      </c>
      <c r="K60" s="10">
        <f t="shared" si="3"/>
        <v>1812.7518194596987</v>
      </c>
      <c r="L60" s="10">
        <f t="shared" si="4"/>
        <v>1361.8945461588823</v>
      </c>
      <c r="M60" s="10">
        <v>10000</v>
      </c>
      <c r="N60" s="10">
        <f t="shared" si="5"/>
        <v>488707.57289099938</v>
      </c>
    </row>
    <row r="61" spans="8:14" x14ac:dyDescent="0.2">
      <c r="H61" s="8">
        <f t="shared" si="0"/>
        <v>46753</v>
      </c>
      <c r="I61" s="3">
        <f t="shared" si="1"/>
        <v>52</v>
      </c>
      <c r="J61" s="4">
        <f t="shared" si="2"/>
        <v>3174.6463656185811</v>
      </c>
      <c r="K61" s="4">
        <f t="shared" si="3"/>
        <v>1771.5649517298725</v>
      </c>
      <c r="L61" s="4">
        <f t="shared" si="4"/>
        <v>1403.0814138887085</v>
      </c>
      <c r="M61" s="4"/>
      <c r="N61" s="4">
        <f t="shared" si="5"/>
        <v>487304.49147711066</v>
      </c>
    </row>
    <row r="62" spans="8:14" x14ac:dyDescent="0.2">
      <c r="H62" s="8">
        <f t="shared" si="0"/>
        <v>46784</v>
      </c>
      <c r="I62" s="3">
        <f t="shared" si="1"/>
        <v>53</v>
      </c>
      <c r="J62" s="4">
        <f t="shared" si="2"/>
        <v>3174.6463656185811</v>
      </c>
      <c r="K62" s="4">
        <f t="shared" si="3"/>
        <v>1766.4787816045259</v>
      </c>
      <c r="L62" s="4">
        <f t="shared" si="4"/>
        <v>1408.1675840140551</v>
      </c>
      <c r="M62" s="4"/>
      <c r="N62" s="4">
        <f t="shared" si="5"/>
        <v>485896.32389309659</v>
      </c>
    </row>
    <row r="63" spans="8:14" x14ac:dyDescent="0.2">
      <c r="H63" s="8">
        <f t="shared" si="0"/>
        <v>46813</v>
      </c>
      <c r="I63" s="3">
        <f t="shared" si="1"/>
        <v>54</v>
      </c>
      <c r="J63" s="4">
        <f t="shared" si="2"/>
        <v>3174.6463656185811</v>
      </c>
      <c r="K63" s="4">
        <f t="shared" si="3"/>
        <v>1761.374174112475</v>
      </c>
      <c r="L63" s="4">
        <f t="shared" si="4"/>
        <v>1413.2721915061061</v>
      </c>
      <c r="M63" s="4"/>
      <c r="N63" s="4">
        <f t="shared" si="5"/>
        <v>484483.05170159048</v>
      </c>
    </row>
    <row r="64" spans="8:14" x14ac:dyDescent="0.2">
      <c r="H64" s="8">
        <f t="shared" si="0"/>
        <v>46844</v>
      </c>
      <c r="I64" s="3">
        <f t="shared" si="1"/>
        <v>55</v>
      </c>
      <c r="J64" s="4">
        <f t="shared" si="2"/>
        <v>3174.6463656185811</v>
      </c>
      <c r="K64" s="4">
        <f t="shared" si="3"/>
        <v>1756.2510624182653</v>
      </c>
      <c r="L64" s="4">
        <f t="shared" si="4"/>
        <v>1418.3953032003158</v>
      </c>
      <c r="M64" s="4"/>
      <c r="N64" s="4">
        <f t="shared" si="5"/>
        <v>483064.65639839019</v>
      </c>
    </row>
    <row r="65" spans="8:14" x14ac:dyDescent="0.2">
      <c r="H65" s="8">
        <f t="shared" si="0"/>
        <v>46874</v>
      </c>
      <c r="I65" s="3">
        <f t="shared" si="1"/>
        <v>56</v>
      </c>
      <c r="J65" s="4">
        <f t="shared" si="2"/>
        <v>3174.6463656185811</v>
      </c>
      <c r="K65" s="4">
        <f t="shared" si="3"/>
        <v>1751.1093794441642</v>
      </c>
      <c r="L65" s="4">
        <f t="shared" si="4"/>
        <v>1423.5369861744168</v>
      </c>
      <c r="M65" s="4"/>
      <c r="N65" s="4">
        <f t="shared" si="5"/>
        <v>481641.11941221578</v>
      </c>
    </row>
    <row r="66" spans="8:14" x14ac:dyDescent="0.2">
      <c r="H66" s="8">
        <f t="shared" si="0"/>
        <v>46905</v>
      </c>
      <c r="I66" s="3">
        <f t="shared" si="1"/>
        <v>57</v>
      </c>
      <c r="J66" s="4">
        <f t="shared" si="2"/>
        <v>3174.6463656185811</v>
      </c>
      <c r="K66" s="4">
        <f t="shared" si="3"/>
        <v>1745.9490578692821</v>
      </c>
      <c r="L66" s="4">
        <f t="shared" si="4"/>
        <v>1428.6973077492989</v>
      </c>
      <c r="M66" s="4"/>
      <c r="N66" s="4">
        <f t="shared" si="5"/>
        <v>480212.42210446647</v>
      </c>
    </row>
    <row r="67" spans="8:14" x14ac:dyDescent="0.2">
      <c r="H67" s="8">
        <f t="shared" si="0"/>
        <v>46935</v>
      </c>
      <c r="I67" s="3">
        <f t="shared" si="1"/>
        <v>58</v>
      </c>
      <c r="J67" s="4">
        <f t="shared" si="2"/>
        <v>3174.6463656185811</v>
      </c>
      <c r="K67" s="4">
        <f t="shared" si="3"/>
        <v>1740.7700301286909</v>
      </c>
      <c r="L67" s="4">
        <f t="shared" si="4"/>
        <v>1433.8763354898902</v>
      </c>
      <c r="M67" s="4"/>
      <c r="N67" s="4">
        <f t="shared" si="5"/>
        <v>478778.54576897656</v>
      </c>
    </row>
    <row r="68" spans="8:14" x14ac:dyDescent="0.2">
      <c r="H68" s="8">
        <f t="shared" si="0"/>
        <v>46966</v>
      </c>
      <c r="I68" s="3">
        <f t="shared" si="1"/>
        <v>59</v>
      </c>
      <c r="J68" s="4">
        <f t="shared" si="2"/>
        <v>3174.6463656185811</v>
      </c>
      <c r="K68" s="4">
        <f t="shared" si="3"/>
        <v>1735.57222841254</v>
      </c>
      <c r="L68" s="4">
        <f t="shared" si="4"/>
        <v>1439.0741372060411</v>
      </c>
      <c r="M68" s="4"/>
      <c r="N68" s="4">
        <f t="shared" si="5"/>
        <v>477339.47163177055</v>
      </c>
    </row>
    <row r="69" spans="8:14" x14ac:dyDescent="0.2">
      <c r="H69" s="8">
        <f t="shared" si="0"/>
        <v>46997</v>
      </c>
      <c r="I69" s="3">
        <f t="shared" si="1"/>
        <v>60</v>
      </c>
      <c r="J69" s="4">
        <f t="shared" si="2"/>
        <v>3174.6463656185811</v>
      </c>
      <c r="K69" s="4">
        <f t="shared" si="3"/>
        <v>1730.3555846651682</v>
      </c>
      <c r="L69" s="4">
        <f t="shared" si="4"/>
        <v>1444.2907809534129</v>
      </c>
      <c r="M69" s="4"/>
      <c r="N69" s="4">
        <f t="shared" si="5"/>
        <v>475895.18085081712</v>
      </c>
    </row>
    <row r="70" spans="8:14" x14ac:dyDescent="0.2">
      <c r="H70" s="8">
        <f t="shared" si="0"/>
        <v>47027</v>
      </c>
      <c r="I70" s="3">
        <f t="shared" si="1"/>
        <v>61</v>
      </c>
      <c r="J70" s="4">
        <f t="shared" si="2"/>
        <v>3174.6463656185811</v>
      </c>
      <c r="K70" s="4">
        <f t="shared" si="3"/>
        <v>1725.1200305842119</v>
      </c>
      <c r="L70" s="4">
        <f t="shared" si="4"/>
        <v>1449.5263350343691</v>
      </c>
      <c r="M70" s="4"/>
      <c r="N70" s="4">
        <f t="shared" si="5"/>
        <v>474445.65451578278</v>
      </c>
    </row>
    <row r="71" spans="8:14" x14ac:dyDescent="0.2">
      <c r="H71" s="8">
        <f t="shared" si="0"/>
        <v>47058</v>
      </c>
      <c r="I71" s="3">
        <f t="shared" si="1"/>
        <v>62</v>
      </c>
      <c r="J71" s="4">
        <f t="shared" si="2"/>
        <v>3174.6463656185811</v>
      </c>
      <c r="K71" s="4">
        <f t="shared" si="3"/>
        <v>1719.8654976197124</v>
      </c>
      <c r="L71" s="4">
        <f t="shared" si="4"/>
        <v>1454.7808679988686</v>
      </c>
      <c r="M71" s="4"/>
      <c r="N71" s="4">
        <f t="shared" si="5"/>
        <v>472990.87364778388</v>
      </c>
    </row>
    <row r="72" spans="8:14" x14ac:dyDescent="0.2">
      <c r="H72" s="9">
        <f t="shared" si="0"/>
        <v>47088</v>
      </c>
      <c r="I72" s="6">
        <f t="shared" si="1"/>
        <v>63</v>
      </c>
      <c r="J72" s="10">
        <f t="shared" si="2"/>
        <v>3174.6463656185811</v>
      </c>
      <c r="K72" s="10">
        <f t="shared" si="3"/>
        <v>1714.5919169732165</v>
      </c>
      <c r="L72" s="10">
        <f t="shared" si="4"/>
        <v>1460.0544486453646</v>
      </c>
      <c r="M72" s="10">
        <v>10000</v>
      </c>
      <c r="N72" s="10">
        <f t="shared" si="5"/>
        <v>461530.8191991385</v>
      </c>
    </row>
    <row r="73" spans="8:14" x14ac:dyDescent="0.2">
      <c r="H73" s="8">
        <f t="shared" si="0"/>
        <v>47119</v>
      </c>
      <c r="I73" s="3">
        <f t="shared" si="1"/>
        <v>64</v>
      </c>
      <c r="J73" s="4">
        <f t="shared" si="2"/>
        <v>3174.6463656185811</v>
      </c>
      <c r="K73" s="4">
        <f t="shared" si="3"/>
        <v>1673.049219596877</v>
      </c>
      <c r="L73" s="4">
        <f t="shared" si="4"/>
        <v>1501.597146021704</v>
      </c>
      <c r="M73" s="4"/>
      <c r="N73" s="4">
        <f t="shared" si="5"/>
        <v>460029.22205311677</v>
      </c>
    </row>
    <row r="74" spans="8:14" x14ac:dyDescent="0.2">
      <c r="H74" s="8">
        <f t="shared" si="0"/>
        <v>47150</v>
      </c>
      <c r="I74" s="3">
        <f t="shared" si="1"/>
        <v>65</v>
      </c>
      <c r="J74" s="4">
        <f t="shared" si="2"/>
        <v>3174.6463656185811</v>
      </c>
      <c r="K74" s="4">
        <f t="shared" si="3"/>
        <v>1667.6059299425481</v>
      </c>
      <c r="L74" s="4">
        <f t="shared" si="4"/>
        <v>1507.040435676033</v>
      </c>
      <c r="M74" s="4"/>
      <c r="N74" s="4">
        <f t="shared" si="5"/>
        <v>458522.18161744071</v>
      </c>
    </row>
    <row r="75" spans="8:14" x14ac:dyDescent="0.2">
      <c r="H75" s="8">
        <f t="shared" ref="H75:H138" si="6">EDATE(H74, 1)</f>
        <v>47178</v>
      </c>
      <c r="I75" s="3">
        <f t="shared" ref="I75:I138" si="7">I74+1</f>
        <v>66</v>
      </c>
      <c r="J75" s="4">
        <f t="shared" ref="J75:J138" si="8">$F$6</f>
        <v>3174.6463656185811</v>
      </c>
      <c r="K75" s="4">
        <f t="shared" ref="K75:K138" si="9" xml:space="preserve"> N74*$F$4</f>
        <v>1662.1429083632224</v>
      </c>
      <c r="L75" s="4">
        <f t="shared" ref="L75:L138" si="10">J75-K75</f>
        <v>1512.5034572553586</v>
      </c>
      <c r="M75" s="4"/>
      <c r="N75" s="4">
        <f t="shared" ref="N75:N138" si="11">N74-(L75+M75)</f>
        <v>457009.67816018534</v>
      </c>
    </row>
    <row r="76" spans="8:14" x14ac:dyDescent="0.2">
      <c r="H76" s="8">
        <f t="shared" si="6"/>
        <v>47209</v>
      </c>
      <c r="I76" s="3">
        <f t="shared" si="7"/>
        <v>67</v>
      </c>
      <c r="J76" s="4">
        <f t="shared" si="8"/>
        <v>3174.6463656185811</v>
      </c>
      <c r="K76" s="4">
        <f t="shared" si="9"/>
        <v>1656.6600833306718</v>
      </c>
      <c r="L76" s="4">
        <f t="shared" si="10"/>
        <v>1517.9862822879093</v>
      </c>
      <c r="M76" s="4"/>
      <c r="N76" s="4">
        <f t="shared" si="11"/>
        <v>455491.69187789742</v>
      </c>
    </row>
    <row r="77" spans="8:14" x14ac:dyDescent="0.2">
      <c r="H77" s="8">
        <f t="shared" si="6"/>
        <v>47239</v>
      </c>
      <c r="I77" s="3">
        <f t="shared" si="7"/>
        <v>68</v>
      </c>
      <c r="J77" s="4">
        <f t="shared" si="8"/>
        <v>3174.6463656185811</v>
      </c>
      <c r="K77" s="4">
        <f t="shared" si="9"/>
        <v>1651.157383057378</v>
      </c>
      <c r="L77" s="4">
        <f t="shared" si="10"/>
        <v>1523.4889825612031</v>
      </c>
      <c r="M77" s="4"/>
      <c r="N77" s="4">
        <f t="shared" si="11"/>
        <v>453968.2028953362</v>
      </c>
    </row>
    <row r="78" spans="8:14" x14ac:dyDescent="0.2">
      <c r="H78" s="8">
        <f t="shared" si="6"/>
        <v>47270</v>
      </c>
      <c r="I78" s="3">
        <f t="shared" si="7"/>
        <v>69</v>
      </c>
      <c r="J78" s="4">
        <f t="shared" si="8"/>
        <v>3174.6463656185811</v>
      </c>
      <c r="K78" s="4">
        <f t="shared" si="9"/>
        <v>1645.6347354955935</v>
      </c>
      <c r="L78" s="4">
        <f t="shared" si="10"/>
        <v>1529.0116301229875</v>
      </c>
      <c r="M78" s="4"/>
      <c r="N78" s="4">
        <f t="shared" si="11"/>
        <v>452439.19126521319</v>
      </c>
    </row>
    <row r="79" spans="8:14" x14ac:dyDescent="0.2">
      <c r="H79" s="8">
        <f t="shared" si="6"/>
        <v>47300</v>
      </c>
      <c r="I79" s="3">
        <f t="shared" si="7"/>
        <v>70</v>
      </c>
      <c r="J79" s="4">
        <f t="shared" si="8"/>
        <v>3174.6463656185811</v>
      </c>
      <c r="K79" s="4">
        <f t="shared" si="9"/>
        <v>1640.0920683363977</v>
      </c>
      <c r="L79" s="4">
        <f t="shared" si="10"/>
        <v>1534.5542972821834</v>
      </c>
      <c r="M79" s="4"/>
      <c r="N79" s="4">
        <f t="shared" si="11"/>
        <v>450904.636967931</v>
      </c>
    </row>
    <row r="80" spans="8:14" x14ac:dyDescent="0.2">
      <c r="H80" s="8">
        <f t="shared" si="6"/>
        <v>47331</v>
      </c>
      <c r="I80" s="3">
        <f t="shared" si="7"/>
        <v>71</v>
      </c>
      <c r="J80" s="4">
        <f t="shared" si="8"/>
        <v>3174.6463656185811</v>
      </c>
      <c r="K80" s="4">
        <f t="shared" si="9"/>
        <v>1634.5293090087498</v>
      </c>
      <c r="L80" s="4">
        <f t="shared" si="10"/>
        <v>1540.1170566098313</v>
      </c>
      <c r="M80" s="4"/>
      <c r="N80" s="4">
        <f t="shared" si="11"/>
        <v>449364.51991132117</v>
      </c>
    </row>
    <row r="81" spans="8:14" x14ac:dyDescent="0.2">
      <c r="H81" s="8">
        <f t="shared" si="6"/>
        <v>47362</v>
      </c>
      <c r="I81" s="3">
        <f t="shared" si="7"/>
        <v>72</v>
      </c>
      <c r="J81" s="4">
        <f t="shared" si="8"/>
        <v>3174.6463656185811</v>
      </c>
      <c r="K81" s="4">
        <f t="shared" si="9"/>
        <v>1628.9463846785391</v>
      </c>
      <c r="L81" s="4">
        <f t="shared" si="10"/>
        <v>1545.699980940042</v>
      </c>
      <c r="M81" s="4"/>
      <c r="N81" s="4">
        <f t="shared" si="11"/>
        <v>447818.81993038114</v>
      </c>
    </row>
    <row r="82" spans="8:14" x14ac:dyDescent="0.2">
      <c r="H82" s="8">
        <f t="shared" si="6"/>
        <v>47392</v>
      </c>
      <c r="I82" s="3">
        <f t="shared" si="7"/>
        <v>73</v>
      </c>
      <c r="J82" s="4">
        <f t="shared" si="8"/>
        <v>3174.6463656185811</v>
      </c>
      <c r="K82" s="4">
        <f t="shared" si="9"/>
        <v>1623.3432222476315</v>
      </c>
      <c r="L82" s="4">
        <f t="shared" si="10"/>
        <v>1551.3031433709496</v>
      </c>
      <c r="M82" s="4"/>
      <c r="N82" s="4">
        <f t="shared" si="11"/>
        <v>446267.51678701019</v>
      </c>
    </row>
    <row r="83" spans="8:14" x14ac:dyDescent="0.2">
      <c r="H83" s="8">
        <f t="shared" si="6"/>
        <v>47423</v>
      </c>
      <c r="I83" s="3">
        <f t="shared" si="7"/>
        <v>74</v>
      </c>
      <c r="J83" s="4">
        <f t="shared" si="8"/>
        <v>3174.6463656185811</v>
      </c>
      <c r="K83" s="4">
        <f t="shared" si="9"/>
        <v>1617.7197483529119</v>
      </c>
      <c r="L83" s="4">
        <f t="shared" si="10"/>
        <v>1556.9266172656692</v>
      </c>
      <c r="M83" s="4"/>
      <c r="N83" s="4">
        <f t="shared" si="11"/>
        <v>444710.59016974451</v>
      </c>
    </row>
    <row r="84" spans="8:14" x14ac:dyDescent="0.2">
      <c r="H84" s="9">
        <f t="shared" si="6"/>
        <v>47453</v>
      </c>
      <c r="I84" s="6">
        <f t="shared" si="7"/>
        <v>75</v>
      </c>
      <c r="J84" s="10">
        <f t="shared" si="8"/>
        <v>3174.6463656185811</v>
      </c>
      <c r="K84" s="10">
        <f t="shared" si="9"/>
        <v>1612.0758893653237</v>
      </c>
      <c r="L84" s="10">
        <f t="shared" si="10"/>
        <v>1562.5704762532573</v>
      </c>
      <c r="M84" s="10">
        <v>10000</v>
      </c>
      <c r="N84" s="10">
        <f t="shared" si="11"/>
        <v>433148.01969349122</v>
      </c>
    </row>
    <row r="85" spans="8:14" x14ac:dyDescent="0.2">
      <c r="H85" s="8">
        <f t="shared" si="6"/>
        <v>47484</v>
      </c>
      <c r="I85" s="3">
        <f t="shared" si="7"/>
        <v>76</v>
      </c>
      <c r="J85" s="4">
        <f t="shared" si="8"/>
        <v>3174.6463656185811</v>
      </c>
      <c r="K85" s="4">
        <f t="shared" si="9"/>
        <v>1570.1615713889055</v>
      </c>
      <c r="L85" s="4">
        <f t="shared" si="10"/>
        <v>1604.4847942296756</v>
      </c>
      <c r="M85" s="4"/>
      <c r="N85" s="4">
        <f t="shared" si="11"/>
        <v>431543.53489926155</v>
      </c>
    </row>
    <row r="86" spans="8:14" x14ac:dyDescent="0.2">
      <c r="H86" s="8">
        <f t="shared" si="6"/>
        <v>47515</v>
      </c>
      <c r="I86" s="3">
        <f t="shared" si="7"/>
        <v>77</v>
      </c>
      <c r="J86" s="4">
        <f t="shared" si="8"/>
        <v>3174.6463656185811</v>
      </c>
      <c r="K86" s="4">
        <f t="shared" si="9"/>
        <v>1564.3453140098229</v>
      </c>
      <c r="L86" s="4">
        <f t="shared" si="10"/>
        <v>1610.3010516087581</v>
      </c>
      <c r="M86" s="4"/>
      <c r="N86" s="4">
        <f t="shared" si="11"/>
        <v>429933.23384765279</v>
      </c>
    </row>
    <row r="87" spans="8:14" x14ac:dyDescent="0.2">
      <c r="H87" s="8">
        <f t="shared" si="6"/>
        <v>47543</v>
      </c>
      <c r="I87" s="3">
        <f t="shared" si="7"/>
        <v>78</v>
      </c>
      <c r="J87" s="4">
        <f t="shared" si="8"/>
        <v>3174.6463656185811</v>
      </c>
      <c r="K87" s="4">
        <f t="shared" si="9"/>
        <v>1558.5079726977413</v>
      </c>
      <c r="L87" s="4">
        <f t="shared" si="10"/>
        <v>1616.1383929208398</v>
      </c>
      <c r="M87" s="4"/>
      <c r="N87" s="4">
        <f t="shared" si="11"/>
        <v>428317.09545473196</v>
      </c>
    </row>
    <row r="88" spans="8:14" x14ac:dyDescent="0.2">
      <c r="H88" s="8">
        <f t="shared" si="6"/>
        <v>47574</v>
      </c>
      <c r="I88" s="3">
        <f t="shared" si="7"/>
        <v>79</v>
      </c>
      <c r="J88" s="4">
        <f t="shared" si="8"/>
        <v>3174.6463656185811</v>
      </c>
      <c r="K88" s="4">
        <f t="shared" si="9"/>
        <v>1552.6494710234033</v>
      </c>
      <c r="L88" s="4">
        <f t="shared" si="10"/>
        <v>1621.9968945951778</v>
      </c>
      <c r="M88" s="4"/>
      <c r="N88" s="4">
        <f t="shared" si="11"/>
        <v>426695.0985601368</v>
      </c>
    </row>
    <row r="89" spans="8:14" x14ac:dyDescent="0.2">
      <c r="H89" s="8">
        <f t="shared" si="6"/>
        <v>47604</v>
      </c>
      <c r="I89" s="3">
        <f t="shared" si="7"/>
        <v>80</v>
      </c>
      <c r="J89" s="4">
        <f t="shared" si="8"/>
        <v>3174.6463656185811</v>
      </c>
      <c r="K89" s="4">
        <f t="shared" si="9"/>
        <v>1546.7697322804959</v>
      </c>
      <c r="L89" s="4">
        <f t="shared" si="10"/>
        <v>1627.8766333380852</v>
      </c>
      <c r="M89" s="4"/>
      <c r="N89" s="4">
        <f t="shared" si="11"/>
        <v>425067.22192679869</v>
      </c>
    </row>
    <row r="90" spans="8:14" x14ac:dyDescent="0.2">
      <c r="H90" s="8">
        <f t="shared" si="6"/>
        <v>47635</v>
      </c>
      <c r="I90" s="3">
        <f t="shared" si="7"/>
        <v>81</v>
      </c>
      <c r="J90" s="4">
        <f t="shared" si="8"/>
        <v>3174.6463656185811</v>
      </c>
      <c r="K90" s="4">
        <f t="shared" si="9"/>
        <v>1540.8686794846451</v>
      </c>
      <c r="L90" s="4">
        <f t="shared" si="10"/>
        <v>1633.777686133936</v>
      </c>
      <c r="M90" s="4"/>
      <c r="N90" s="4">
        <f t="shared" si="11"/>
        <v>423433.44424066477</v>
      </c>
    </row>
    <row r="91" spans="8:14" x14ac:dyDescent="0.2">
      <c r="H91" s="8">
        <f t="shared" si="6"/>
        <v>47665</v>
      </c>
      <c r="I91" s="3">
        <f t="shared" si="7"/>
        <v>82</v>
      </c>
      <c r="J91" s="4">
        <f t="shared" si="8"/>
        <v>3174.6463656185811</v>
      </c>
      <c r="K91" s="4">
        <f t="shared" si="9"/>
        <v>1534.9462353724098</v>
      </c>
      <c r="L91" s="4">
        <f t="shared" si="10"/>
        <v>1639.7001302461713</v>
      </c>
      <c r="M91" s="4"/>
      <c r="N91" s="4">
        <f t="shared" si="11"/>
        <v>421793.7441104186</v>
      </c>
    </row>
    <row r="92" spans="8:14" x14ac:dyDescent="0.2">
      <c r="H92" s="8">
        <f t="shared" si="6"/>
        <v>47696</v>
      </c>
      <c r="I92" s="3">
        <f t="shared" si="7"/>
        <v>83</v>
      </c>
      <c r="J92" s="4">
        <f t="shared" si="8"/>
        <v>3174.6463656185811</v>
      </c>
      <c r="K92" s="4">
        <f t="shared" si="9"/>
        <v>1529.0023224002673</v>
      </c>
      <c r="L92" s="4">
        <f t="shared" si="10"/>
        <v>1645.6440432183138</v>
      </c>
      <c r="M92" s="4"/>
      <c r="N92" s="4">
        <f t="shared" si="11"/>
        <v>420148.10006720031</v>
      </c>
    </row>
    <row r="93" spans="8:14" x14ac:dyDescent="0.2">
      <c r="H93" s="8">
        <f t="shared" si="6"/>
        <v>47727</v>
      </c>
      <c r="I93" s="3">
        <f t="shared" si="7"/>
        <v>84</v>
      </c>
      <c r="J93" s="4">
        <f t="shared" si="8"/>
        <v>3174.6463656185811</v>
      </c>
      <c r="K93" s="4">
        <f t="shared" si="9"/>
        <v>1523.036862743601</v>
      </c>
      <c r="L93" s="4">
        <f t="shared" si="10"/>
        <v>1651.6095028749801</v>
      </c>
      <c r="M93" s="4"/>
      <c r="N93" s="4">
        <f t="shared" si="11"/>
        <v>418496.49056432536</v>
      </c>
    </row>
    <row r="94" spans="8:14" x14ac:dyDescent="0.2">
      <c r="H94" s="8">
        <f t="shared" si="6"/>
        <v>47757</v>
      </c>
      <c r="I94" s="3">
        <f t="shared" si="7"/>
        <v>85</v>
      </c>
      <c r="J94" s="4">
        <f t="shared" si="8"/>
        <v>3174.6463656185811</v>
      </c>
      <c r="K94" s="4">
        <f t="shared" si="9"/>
        <v>1517.0497782956793</v>
      </c>
      <c r="L94" s="4">
        <f t="shared" si="10"/>
        <v>1657.5965873229018</v>
      </c>
      <c r="M94" s="4"/>
      <c r="N94" s="4">
        <f t="shared" si="11"/>
        <v>416838.89397700247</v>
      </c>
    </row>
    <row r="95" spans="8:14" x14ac:dyDescent="0.2">
      <c r="H95" s="8">
        <f t="shared" si="6"/>
        <v>47788</v>
      </c>
      <c r="I95" s="3">
        <f t="shared" si="7"/>
        <v>86</v>
      </c>
      <c r="J95" s="4">
        <f t="shared" si="8"/>
        <v>3174.6463656185811</v>
      </c>
      <c r="K95" s="4">
        <f t="shared" si="9"/>
        <v>1511.0409906666339</v>
      </c>
      <c r="L95" s="4">
        <f t="shared" si="10"/>
        <v>1663.6053749519472</v>
      </c>
      <c r="M95" s="4"/>
      <c r="N95" s="4">
        <f t="shared" si="11"/>
        <v>415175.28860205051</v>
      </c>
    </row>
    <row r="96" spans="8:14" x14ac:dyDescent="0.2">
      <c r="H96" s="9">
        <f t="shared" si="6"/>
        <v>47818</v>
      </c>
      <c r="I96" s="6">
        <f t="shared" si="7"/>
        <v>87</v>
      </c>
      <c r="J96" s="10">
        <f t="shared" si="8"/>
        <v>3174.6463656185811</v>
      </c>
      <c r="K96" s="10">
        <f t="shared" si="9"/>
        <v>1505.010421182433</v>
      </c>
      <c r="L96" s="10">
        <f t="shared" si="10"/>
        <v>1669.6359444361481</v>
      </c>
      <c r="M96" s="10">
        <v>10000</v>
      </c>
      <c r="N96" s="10">
        <f t="shared" si="11"/>
        <v>403505.65265761438</v>
      </c>
    </row>
    <row r="97" spans="8:14" x14ac:dyDescent="0.2">
      <c r="H97" s="8">
        <f t="shared" si="6"/>
        <v>47849</v>
      </c>
      <c r="I97" s="3">
        <f t="shared" si="7"/>
        <v>88</v>
      </c>
      <c r="J97" s="4">
        <f t="shared" si="8"/>
        <v>3174.6463656185811</v>
      </c>
      <c r="K97" s="4">
        <f t="shared" si="9"/>
        <v>1462.7079908838521</v>
      </c>
      <c r="L97" s="4">
        <f t="shared" si="10"/>
        <v>1711.938374734729</v>
      </c>
      <c r="M97" s="4"/>
      <c r="N97" s="4">
        <f t="shared" si="11"/>
        <v>401793.71428287966</v>
      </c>
    </row>
    <row r="98" spans="8:14" x14ac:dyDescent="0.2">
      <c r="H98" s="8">
        <f t="shared" si="6"/>
        <v>47880</v>
      </c>
      <c r="I98" s="3">
        <f t="shared" si="7"/>
        <v>89</v>
      </c>
      <c r="J98" s="4">
        <f t="shared" si="8"/>
        <v>3174.6463656185811</v>
      </c>
      <c r="K98" s="4">
        <f t="shared" si="9"/>
        <v>1456.5022142754387</v>
      </c>
      <c r="L98" s="4">
        <f t="shared" si="10"/>
        <v>1718.1441513431423</v>
      </c>
      <c r="M98" s="4"/>
      <c r="N98" s="4">
        <f t="shared" si="11"/>
        <v>400075.57013153651</v>
      </c>
    </row>
    <row r="99" spans="8:14" x14ac:dyDescent="0.2">
      <c r="H99" s="8">
        <f t="shared" si="6"/>
        <v>47908</v>
      </c>
      <c r="I99" s="3">
        <f t="shared" si="7"/>
        <v>90</v>
      </c>
      <c r="J99" s="4">
        <f t="shared" si="8"/>
        <v>3174.6463656185811</v>
      </c>
      <c r="K99" s="4">
        <f t="shared" si="9"/>
        <v>1450.2739417268197</v>
      </c>
      <c r="L99" s="4">
        <f t="shared" si="10"/>
        <v>1724.3724238917614</v>
      </c>
      <c r="M99" s="4"/>
      <c r="N99" s="4">
        <f t="shared" si="11"/>
        <v>398351.19770764478</v>
      </c>
    </row>
    <row r="100" spans="8:14" x14ac:dyDescent="0.2">
      <c r="H100" s="8">
        <f t="shared" si="6"/>
        <v>47939</v>
      </c>
      <c r="I100" s="3">
        <f t="shared" si="7"/>
        <v>91</v>
      </c>
      <c r="J100" s="4">
        <f t="shared" si="8"/>
        <v>3174.6463656185811</v>
      </c>
      <c r="K100" s="4">
        <f t="shared" si="9"/>
        <v>1444.0230916902121</v>
      </c>
      <c r="L100" s="4">
        <f t="shared" si="10"/>
        <v>1730.6232739283689</v>
      </c>
      <c r="M100" s="4"/>
      <c r="N100" s="4">
        <f t="shared" si="11"/>
        <v>396620.57443371642</v>
      </c>
    </row>
    <row r="101" spans="8:14" x14ac:dyDescent="0.2">
      <c r="H101" s="8">
        <f t="shared" si="6"/>
        <v>47969</v>
      </c>
      <c r="I101" s="3">
        <f t="shared" si="7"/>
        <v>92</v>
      </c>
      <c r="J101" s="4">
        <f t="shared" si="8"/>
        <v>3174.6463656185811</v>
      </c>
      <c r="K101" s="4">
        <f t="shared" si="9"/>
        <v>1437.7495823222218</v>
      </c>
      <c r="L101" s="4">
        <f t="shared" si="10"/>
        <v>1736.8967832963592</v>
      </c>
      <c r="M101" s="4"/>
      <c r="N101" s="4">
        <f t="shared" si="11"/>
        <v>394883.67765042005</v>
      </c>
    </row>
    <row r="102" spans="8:14" x14ac:dyDescent="0.2">
      <c r="H102" s="8">
        <f t="shared" si="6"/>
        <v>48000</v>
      </c>
      <c r="I102" s="3">
        <f t="shared" si="7"/>
        <v>93</v>
      </c>
      <c r="J102" s="4">
        <f t="shared" si="8"/>
        <v>3174.6463656185811</v>
      </c>
      <c r="K102" s="4">
        <f t="shared" si="9"/>
        <v>1431.4533314827727</v>
      </c>
      <c r="L102" s="4">
        <f t="shared" si="10"/>
        <v>1743.1930341358084</v>
      </c>
      <c r="M102" s="4"/>
      <c r="N102" s="4">
        <f t="shared" si="11"/>
        <v>393140.48461628426</v>
      </c>
    </row>
    <row r="103" spans="8:14" x14ac:dyDescent="0.2">
      <c r="H103" s="8">
        <f t="shared" si="6"/>
        <v>48030</v>
      </c>
      <c r="I103" s="3">
        <f t="shared" si="7"/>
        <v>94</v>
      </c>
      <c r="J103" s="4">
        <f t="shared" si="8"/>
        <v>3174.6463656185811</v>
      </c>
      <c r="K103" s="4">
        <f t="shared" si="9"/>
        <v>1425.1342567340303</v>
      </c>
      <c r="L103" s="4">
        <f t="shared" si="10"/>
        <v>1749.5121088845508</v>
      </c>
      <c r="M103" s="4"/>
      <c r="N103" s="4">
        <f t="shared" si="11"/>
        <v>391390.97250739968</v>
      </c>
    </row>
    <row r="104" spans="8:14" x14ac:dyDescent="0.2">
      <c r="H104" s="8">
        <f t="shared" si="6"/>
        <v>48061</v>
      </c>
      <c r="I104" s="3">
        <f t="shared" si="7"/>
        <v>95</v>
      </c>
      <c r="J104" s="4">
        <f t="shared" si="8"/>
        <v>3174.6463656185811</v>
      </c>
      <c r="K104" s="4">
        <f t="shared" si="9"/>
        <v>1418.7922753393239</v>
      </c>
      <c r="L104" s="4">
        <f t="shared" si="10"/>
        <v>1755.8540902792572</v>
      </c>
      <c r="M104" s="4"/>
      <c r="N104" s="4">
        <f t="shared" si="11"/>
        <v>389635.11841712042</v>
      </c>
    </row>
    <row r="105" spans="8:14" x14ac:dyDescent="0.2">
      <c r="H105" s="8">
        <f t="shared" si="6"/>
        <v>48092</v>
      </c>
      <c r="I105" s="3">
        <f t="shared" si="7"/>
        <v>96</v>
      </c>
      <c r="J105" s="4">
        <f t="shared" si="8"/>
        <v>3174.6463656185811</v>
      </c>
      <c r="K105" s="4">
        <f t="shared" si="9"/>
        <v>1412.4273042620614</v>
      </c>
      <c r="L105" s="4">
        <f t="shared" si="10"/>
        <v>1762.2190613565197</v>
      </c>
      <c r="M105" s="4"/>
      <c r="N105" s="4">
        <f t="shared" si="11"/>
        <v>387872.89935576392</v>
      </c>
    </row>
    <row r="106" spans="8:14" x14ac:dyDescent="0.2">
      <c r="H106" s="8">
        <f t="shared" si="6"/>
        <v>48122</v>
      </c>
      <c r="I106" s="3">
        <f t="shared" si="7"/>
        <v>97</v>
      </c>
      <c r="J106" s="4">
        <f t="shared" si="8"/>
        <v>3174.6463656185811</v>
      </c>
      <c r="K106" s="4">
        <f t="shared" si="9"/>
        <v>1406.039260164644</v>
      </c>
      <c r="L106" s="4">
        <f t="shared" si="10"/>
        <v>1768.607105453937</v>
      </c>
      <c r="M106" s="4"/>
      <c r="N106" s="4">
        <f t="shared" si="11"/>
        <v>386104.29225030995</v>
      </c>
    </row>
    <row r="107" spans="8:14" x14ac:dyDescent="0.2">
      <c r="H107" s="8">
        <f t="shared" si="6"/>
        <v>48153</v>
      </c>
      <c r="I107" s="3">
        <f t="shared" si="7"/>
        <v>98</v>
      </c>
      <c r="J107" s="4">
        <f t="shared" si="8"/>
        <v>3174.6463656185811</v>
      </c>
      <c r="K107" s="4">
        <f t="shared" si="9"/>
        <v>1399.6280594073735</v>
      </c>
      <c r="L107" s="4">
        <f t="shared" si="10"/>
        <v>1775.0183062112076</v>
      </c>
      <c r="M107" s="4"/>
      <c r="N107" s="4">
        <f t="shared" si="11"/>
        <v>384329.27394409874</v>
      </c>
    </row>
    <row r="108" spans="8:14" x14ac:dyDescent="0.2">
      <c r="H108" s="9">
        <f t="shared" si="6"/>
        <v>48183</v>
      </c>
      <c r="I108" s="6">
        <f t="shared" si="7"/>
        <v>99</v>
      </c>
      <c r="J108" s="10">
        <f t="shared" si="8"/>
        <v>3174.6463656185811</v>
      </c>
      <c r="K108" s="10">
        <f t="shared" si="9"/>
        <v>1393.1936180473579</v>
      </c>
      <c r="L108" s="10">
        <f t="shared" si="10"/>
        <v>1781.4527475712232</v>
      </c>
      <c r="M108" s="10">
        <v>10000</v>
      </c>
      <c r="N108" s="10">
        <f t="shared" si="11"/>
        <v>372547.82119652751</v>
      </c>
    </row>
    <row r="109" spans="8:14" x14ac:dyDescent="0.2">
      <c r="H109" s="8">
        <f t="shared" si="6"/>
        <v>48214</v>
      </c>
      <c r="I109" s="3">
        <f t="shared" si="7"/>
        <v>100</v>
      </c>
      <c r="J109" s="4">
        <f t="shared" si="8"/>
        <v>3174.6463656185811</v>
      </c>
      <c r="K109" s="4">
        <f t="shared" si="9"/>
        <v>1350.4858518374122</v>
      </c>
      <c r="L109" s="4">
        <f t="shared" si="10"/>
        <v>1824.1605137811689</v>
      </c>
      <c r="M109" s="4"/>
      <c r="N109" s="4">
        <f t="shared" si="11"/>
        <v>370723.66068274633</v>
      </c>
    </row>
    <row r="110" spans="8:14" x14ac:dyDescent="0.2">
      <c r="H110" s="8">
        <f t="shared" si="6"/>
        <v>48245</v>
      </c>
      <c r="I110" s="3">
        <f t="shared" si="7"/>
        <v>101</v>
      </c>
      <c r="J110" s="4">
        <f t="shared" si="8"/>
        <v>3174.6463656185811</v>
      </c>
      <c r="K110" s="4">
        <f t="shared" si="9"/>
        <v>1343.8732699749553</v>
      </c>
      <c r="L110" s="4">
        <f t="shared" si="10"/>
        <v>1830.7730956436258</v>
      </c>
      <c r="M110" s="4"/>
      <c r="N110" s="4">
        <f t="shared" si="11"/>
        <v>368892.88758710271</v>
      </c>
    </row>
    <row r="111" spans="8:14" x14ac:dyDescent="0.2">
      <c r="H111" s="8">
        <f t="shared" si="6"/>
        <v>48274</v>
      </c>
      <c r="I111" s="3">
        <f t="shared" si="7"/>
        <v>102</v>
      </c>
      <c r="J111" s="4">
        <f t="shared" si="8"/>
        <v>3174.6463656185811</v>
      </c>
      <c r="K111" s="4">
        <f t="shared" si="9"/>
        <v>1337.2367175032473</v>
      </c>
      <c r="L111" s="4">
        <f t="shared" si="10"/>
        <v>1837.4096481153338</v>
      </c>
      <c r="M111" s="4"/>
      <c r="N111" s="4">
        <f t="shared" si="11"/>
        <v>367055.47793898737</v>
      </c>
    </row>
    <row r="112" spans="8:14" x14ac:dyDescent="0.2">
      <c r="H112" s="8">
        <f t="shared" si="6"/>
        <v>48305</v>
      </c>
      <c r="I112" s="3">
        <f t="shared" si="7"/>
        <v>103</v>
      </c>
      <c r="J112" s="4">
        <f t="shared" si="8"/>
        <v>3174.6463656185811</v>
      </c>
      <c r="K112" s="4">
        <f t="shared" si="9"/>
        <v>1330.5761075288292</v>
      </c>
      <c r="L112" s="4">
        <f t="shared" si="10"/>
        <v>1844.0702580897519</v>
      </c>
      <c r="M112" s="4"/>
      <c r="N112" s="4">
        <f t="shared" si="11"/>
        <v>365211.40768089762</v>
      </c>
    </row>
    <row r="113" spans="8:14" x14ac:dyDescent="0.2">
      <c r="H113" s="8">
        <f t="shared" si="6"/>
        <v>48335</v>
      </c>
      <c r="I113" s="3">
        <f t="shared" si="7"/>
        <v>104</v>
      </c>
      <c r="J113" s="4">
        <f t="shared" si="8"/>
        <v>3174.6463656185811</v>
      </c>
      <c r="K113" s="4">
        <f t="shared" si="9"/>
        <v>1323.8913528432538</v>
      </c>
      <c r="L113" s="4">
        <f t="shared" si="10"/>
        <v>1850.7550127753273</v>
      </c>
      <c r="M113" s="4"/>
      <c r="N113" s="4">
        <f t="shared" si="11"/>
        <v>363360.65266812232</v>
      </c>
    </row>
    <row r="114" spans="8:14" x14ac:dyDescent="0.2">
      <c r="H114" s="8">
        <f t="shared" si="6"/>
        <v>48366</v>
      </c>
      <c r="I114" s="3">
        <f t="shared" si="7"/>
        <v>105</v>
      </c>
      <c r="J114" s="4">
        <f t="shared" si="8"/>
        <v>3174.6463656185811</v>
      </c>
      <c r="K114" s="4">
        <f t="shared" si="9"/>
        <v>1317.1823659219433</v>
      </c>
      <c r="L114" s="4">
        <f t="shared" si="10"/>
        <v>1857.4639996966378</v>
      </c>
      <c r="M114" s="4"/>
      <c r="N114" s="4">
        <f t="shared" si="11"/>
        <v>361503.18866842566</v>
      </c>
    </row>
    <row r="115" spans="8:14" x14ac:dyDescent="0.2">
      <c r="H115" s="8">
        <f t="shared" si="6"/>
        <v>48396</v>
      </c>
      <c r="I115" s="3">
        <f t="shared" si="7"/>
        <v>106</v>
      </c>
      <c r="J115" s="4">
        <f t="shared" si="8"/>
        <v>3174.6463656185811</v>
      </c>
      <c r="K115" s="4">
        <f t="shared" si="9"/>
        <v>1310.4490589230429</v>
      </c>
      <c r="L115" s="4">
        <f t="shared" si="10"/>
        <v>1864.1973066955381</v>
      </c>
      <c r="M115" s="4"/>
      <c r="N115" s="4">
        <f t="shared" si="11"/>
        <v>359638.99136173015</v>
      </c>
    </row>
    <row r="116" spans="8:14" x14ac:dyDescent="0.2">
      <c r="H116" s="8">
        <f t="shared" si="6"/>
        <v>48427</v>
      </c>
      <c r="I116" s="3">
        <f t="shared" si="7"/>
        <v>107</v>
      </c>
      <c r="J116" s="4">
        <f t="shared" si="8"/>
        <v>3174.6463656185811</v>
      </c>
      <c r="K116" s="4">
        <f t="shared" si="9"/>
        <v>1303.6913436862717</v>
      </c>
      <c r="L116" s="4">
        <f t="shared" si="10"/>
        <v>1870.9550219323094</v>
      </c>
      <c r="M116" s="4"/>
      <c r="N116" s="4">
        <f t="shared" si="11"/>
        <v>357768.03633979784</v>
      </c>
    </row>
    <row r="117" spans="8:14" x14ac:dyDescent="0.2">
      <c r="H117" s="8">
        <f t="shared" si="6"/>
        <v>48458</v>
      </c>
      <c r="I117" s="3">
        <f t="shared" si="7"/>
        <v>108</v>
      </c>
      <c r="J117" s="4">
        <f t="shared" si="8"/>
        <v>3174.6463656185811</v>
      </c>
      <c r="K117" s="4">
        <f t="shared" si="9"/>
        <v>1296.909131731767</v>
      </c>
      <c r="L117" s="4">
        <f t="shared" si="10"/>
        <v>1877.737233886814</v>
      </c>
      <c r="M117" s="4"/>
      <c r="N117" s="4">
        <f t="shared" si="11"/>
        <v>355890.29910591105</v>
      </c>
    </row>
    <row r="118" spans="8:14" x14ac:dyDescent="0.2">
      <c r="H118" s="8">
        <f t="shared" si="6"/>
        <v>48488</v>
      </c>
      <c r="I118" s="3">
        <f t="shared" si="7"/>
        <v>109</v>
      </c>
      <c r="J118" s="4">
        <f t="shared" si="8"/>
        <v>3174.6463656185811</v>
      </c>
      <c r="K118" s="4">
        <f t="shared" si="9"/>
        <v>1290.1023342589274</v>
      </c>
      <c r="L118" s="4">
        <f t="shared" si="10"/>
        <v>1884.5440313596537</v>
      </c>
      <c r="M118" s="4"/>
      <c r="N118" s="4">
        <f t="shared" si="11"/>
        <v>354005.75507455139</v>
      </c>
    </row>
    <row r="119" spans="8:14" x14ac:dyDescent="0.2">
      <c r="H119" s="8">
        <f t="shared" si="6"/>
        <v>48519</v>
      </c>
      <c r="I119" s="3">
        <f t="shared" si="7"/>
        <v>110</v>
      </c>
      <c r="J119" s="4">
        <f t="shared" si="8"/>
        <v>3174.6463656185811</v>
      </c>
      <c r="K119" s="4">
        <f t="shared" si="9"/>
        <v>1283.2708621452487</v>
      </c>
      <c r="L119" s="4">
        <f t="shared" si="10"/>
        <v>1891.3755034733324</v>
      </c>
      <c r="M119" s="4"/>
      <c r="N119" s="4">
        <f t="shared" si="11"/>
        <v>352114.37957107805</v>
      </c>
    </row>
    <row r="120" spans="8:14" x14ac:dyDescent="0.2">
      <c r="H120" s="9">
        <f t="shared" si="6"/>
        <v>48549</v>
      </c>
      <c r="I120" s="6">
        <f t="shared" si="7"/>
        <v>111</v>
      </c>
      <c r="J120" s="10">
        <f t="shared" si="8"/>
        <v>3174.6463656185811</v>
      </c>
      <c r="K120" s="10">
        <f t="shared" si="9"/>
        <v>1276.4146259451579</v>
      </c>
      <c r="L120" s="10">
        <f t="shared" si="10"/>
        <v>1898.2317396734231</v>
      </c>
      <c r="M120" s="10">
        <v>10000</v>
      </c>
      <c r="N120" s="10">
        <f t="shared" si="11"/>
        <v>340216.14783140464</v>
      </c>
    </row>
    <row r="121" spans="8:14" x14ac:dyDescent="0.2">
      <c r="H121" s="8">
        <f t="shared" si="6"/>
        <v>48580</v>
      </c>
      <c r="I121" s="3">
        <f t="shared" si="7"/>
        <v>112</v>
      </c>
      <c r="J121" s="4">
        <f t="shared" si="8"/>
        <v>3174.6463656185811</v>
      </c>
      <c r="K121" s="4">
        <f t="shared" si="9"/>
        <v>1233.2835358888417</v>
      </c>
      <c r="L121" s="4">
        <f t="shared" si="10"/>
        <v>1941.3628297297394</v>
      </c>
      <c r="M121" s="4"/>
      <c r="N121" s="4">
        <f t="shared" si="11"/>
        <v>338274.7850016749</v>
      </c>
    </row>
    <row r="122" spans="8:14" x14ac:dyDescent="0.2">
      <c r="H122" s="8">
        <f t="shared" si="6"/>
        <v>48611</v>
      </c>
      <c r="I122" s="3">
        <f t="shared" si="7"/>
        <v>113</v>
      </c>
      <c r="J122" s="4">
        <f t="shared" si="8"/>
        <v>3174.6463656185811</v>
      </c>
      <c r="K122" s="4">
        <f t="shared" si="9"/>
        <v>1226.2460956310715</v>
      </c>
      <c r="L122" s="4">
        <f t="shared" si="10"/>
        <v>1948.4002699875095</v>
      </c>
      <c r="M122" s="4"/>
      <c r="N122" s="4">
        <f t="shared" si="11"/>
        <v>336326.38473168737</v>
      </c>
    </row>
    <row r="123" spans="8:14" x14ac:dyDescent="0.2">
      <c r="H123" s="8">
        <f t="shared" si="6"/>
        <v>48639</v>
      </c>
      <c r="I123" s="3">
        <f t="shared" si="7"/>
        <v>114</v>
      </c>
      <c r="J123" s="4">
        <f t="shared" si="8"/>
        <v>3174.6463656185811</v>
      </c>
      <c r="K123" s="4">
        <f t="shared" si="9"/>
        <v>1219.1831446523665</v>
      </c>
      <c r="L123" s="4">
        <f t="shared" si="10"/>
        <v>1955.4632209662145</v>
      </c>
      <c r="M123" s="4"/>
      <c r="N123" s="4">
        <f t="shared" si="11"/>
        <v>334370.92151072115</v>
      </c>
    </row>
    <row r="124" spans="8:14" x14ac:dyDescent="0.2">
      <c r="H124" s="8">
        <f t="shared" si="6"/>
        <v>48670</v>
      </c>
      <c r="I124" s="3">
        <f t="shared" si="7"/>
        <v>115</v>
      </c>
      <c r="J124" s="4">
        <f t="shared" si="8"/>
        <v>3174.6463656185811</v>
      </c>
      <c r="K124" s="4">
        <f t="shared" si="9"/>
        <v>1212.0945904763641</v>
      </c>
      <c r="L124" s="4">
        <f t="shared" si="10"/>
        <v>1962.5517751422169</v>
      </c>
      <c r="M124" s="4"/>
      <c r="N124" s="4">
        <f t="shared" si="11"/>
        <v>332408.36973557895</v>
      </c>
    </row>
    <row r="125" spans="8:14" x14ac:dyDescent="0.2">
      <c r="H125" s="8">
        <f t="shared" si="6"/>
        <v>48700</v>
      </c>
      <c r="I125" s="3">
        <f t="shared" si="7"/>
        <v>116</v>
      </c>
      <c r="J125" s="4">
        <f t="shared" si="8"/>
        <v>3174.6463656185811</v>
      </c>
      <c r="K125" s="4">
        <f t="shared" si="9"/>
        <v>1204.9803402914736</v>
      </c>
      <c r="L125" s="4">
        <f t="shared" si="10"/>
        <v>1969.6660253271075</v>
      </c>
      <c r="M125" s="4"/>
      <c r="N125" s="4">
        <f t="shared" si="11"/>
        <v>330438.70371025184</v>
      </c>
    </row>
    <row r="126" spans="8:14" x14ac:dyDescent="0.2">
      <c r="H126" s="8">
        <f t="shared" si="6"/>
        <v>48731</v>
      </c>
      <c r="I126" s="3">
        <f t="shared" si="7"/>
        <v>117</v>
      </c>
      <c r="J126" s="4">
        <f t="shared" si="8"/>
        <v>3174.6463656185811</v>
      </c>
      <c r="K126" s="4">
        <f t="shared" si="9"/>
        <v>1197.8403009496628</v>
      </c>
      <c r="L126" s="4">
        <f t="shared" si="10"/>
        <v>1976.8060646689182</v>
      </c>
      <c r="M126" s="4"/>
      <c r="N126" s="4">
        <f t="shared" si="11"/>
        <v>328461.89764558291</v>
      </c>
    </row>
    <row r="127" spans="8:14" x14ac:dyDescent="0.2">
      <c r="H127" s="8">
        <f t="shared" si="6"/>
        <v>48761</v>
      </c>
      <c r="I127" s="3">
        <f t="shared" si="7"/>
        <v>118</v>
      </c>
      <c r="J127" s="4">
        <f t="shared" si="8"/>
        <v>3174.6463656185811</v>
      </c>
      <c r="K127" s="4">
        <f t="shared" si="9"/>
        <v>1190.674378965238</v>
      </c>
      <c r="L127" s="4">
        <f t="shared" si="10"/>
        <v>1983.971986653343</v>
      </c>
      <c r="M127" s="4"/>
      <c r="N127" s="4">
        <f t="shared" si="11"/>
        <v>326477.92565892957</v>
      </c>
    </row>
    <row r="128" spans="8:14" x14ac:dyDescent="0.2">
      <c r="H128" s="8">
        <f t="shared" si="6"/>
        <v>48792</v>
      </c>
      <c r="I128" s="3">
        <f t="shared" si="7"/>
        <v>119</v>
      </c>
      <c r="J128" s="4">
        <f t="shared" si="8"/>
        <v>3174.6463656185811</v>
      </c>
      <c r="K128" s="4">
        <f t="shared" si="9"/>
        <v>1183.4824805136195</v>
      </c>
      <c r="L128" s="4">
        <f t="shared" si="10"/>
        <v>1991.1638851049615</v>
      </c>
      <c r="M128" s="4"/>
      <c r="N128" s="4">
        <f t="shared" si="11"/>
        <v>324486.76177382463</v>
      </c>
    </row>
    <row r="129" spans="8:18" x14ac:dyDescent="0.2">
      <c r="H129" s="8">
        <f t="shared" si="6"/>
        <v>48823</v>
      </c>
      <c r="I129" s="3">
        <f t="shared" si="7"/>
        <v>120</v>
      </c>
      <c r="J129" s="4">
        <f t="shared" si="8"/>
        <v>3174.6463656185811</v>
      </c>
      <c r="K129" s="4">
        <f t="shared" si="9"/>
        <v>1176.2645114301142</v>
      </c>
      <c r="L129" s="4">
        <f t="shared" si="10"/>
        <v>1998.3818541884668</v>
      </c>
      <c r="M129" s="4"/>
      <c r="N129" s="4">
        <f t="shared" si="11"/>
        <v>322488.37991963618</v>
      </c>
    </row>
    <row r="130" spans="8:18" x14ac:dyDescent="0.2">
      <c r="H130" s="8">
        <f t="shared" si="6"/>
        <v>48853</v>
      </c>
      <c r="I130" s="3">
        <f t="shared" si="7"/>
        <v>121</v>
      </c>
      <c r="J130" s="4">
        <f t="shared" si="8"/>
        <v>3174.6463656185811</v>
      </c>
      <c r="K130" s="4">
        <f t="shared" si="9"/>
        <v>1169.0203772086811</v>
      </c>
      <c r="L130" s="4">
        <f t="shared" si="10"/>
        <v>2005.6259884098999</v>
      </c>
      <c r="M130" s="4"/>
      <c r="N130" s="4">
        <f t="shared" si="11"/>
        <v>320482.75393122627</v>
      </c>
    </row>
    <row r="131" spans="8:18" x14ac:dyDescent="0.2">
      <c r="H131" s="8">
        <f t="shared" si="6"/>
        <v>48884</v>
      </c>
      <c r="I131" s="3">
        <f t="shared" si="7"/>
        <v>122</v>
      </c>
      <c r="J131" s="4">
        <f t="shared" si="8"/>
        <v>3174.6463656185811</v>
      </c>
      <c r="K131" s="4">
        <f t="shared" si="9"/>
        <v>1161.7499830006952</v>
      </c>
      <c r="L131" s="4">
        <f t="shared" si="10"/>
        <v>2012.8963826178858</v>
      </c>
      <c r="M131" s="4"/>
      <c r="N131" s="4">
        <f t="shared" si="11"/>
        <v>318469.85754860839</v>
      </c>
    </row>
    <row r="132" spans="8:18" x14ac:dyDescent="0.2">
      <c r="H132" s="9">
        <f t="shared" si="6"/>
        <v>48914</v>
      </c>
      <c r="I132" s="6">
        <f t="shared" si="7"/>
        <v>123</v>
      </c>
      <c r="J132" s="10">
        <f t="shared" si="8"/>
        <v>3174.6463656185811</v>
      </c>
      <c r="K132" s="10">
        <f t="shared" si="9"/>
        <v>1154.4532336137054</v>
      </c>
      <c r="L132" s="10">
        <f t="shared" si="10"/>
        <v>2020.1931320048757</v>
      </c>
      <c r="M132" s="4">
        <v>100000</v>
      </c>
      <c r="N132" s="10">
        <f t="shared" si="11"/>
        <v>216449.66441660351</v>
      </c>
      <c r="O132" s="5"/>
      <c r="P132" s="11">
        <f>SUM(K9:K132)</f>
        <v>206931.16738768911</v>
      </c>
      <c r="Q132" s="5">
        <v>224676</v>
      </c>
      <c r="R132" s="11">
        <f>Q132-P132</f>
        <v>17744.832612310885</v>
      </c>
    </row>
    <row r="133" spans="8:18" x14ac:dyDescent="0.2">
      <c r="H133" s="8">
        <f t="shared" si="6"/>
        <v>48945</v>
      </c>
      <c r="I133" s="3">
        <f t="shared" si="7"/>
        <v>124</v>
      </c>
      <c r="J133" s="4">
        <f t="shared" si="8"/>
        <v>3174.6463656185811</v>
      </c>
      <c r="K133" s="4">
        <f t="shared" si="9"/>
        <v>784.63003351018767</v>
      </c>
      <c r="L133" s="4">
        <f t="shared" si="10"/>
        <v>2390.0163321083933</v>
      </c>
      <c r="M133" s="4">
        <v>0</v>
      </c>
      <c r="N133" s="4">
        <f t="shared" si="11"/>
        <v>214059.64808449513</v>
      </c>
      <c r="O133">
        <v>220000</v>
      </c>
    </row>
    <row r="134" spans="8:18" x14ac:dyDescent="0.2">
      <c r="H134" s="8">
        <f t="shared" si="6"/>
        <v>48976</v>
      </c>
      <c r="I134" s="3">
        <f t="shared" si="7"/>
        <v>125</v>
      </c>
      <c r="J134" s="4">
        <f t="shared" si="8"/>
        <v>3174.6463656185811</v>
      </c>
      <c r="K134" s="4">
        <f t="shared" si="9"/>
        <v>775.96622430629475</v>
      </c>
      <c r="L134" s="4">
        <f t="shared" si="10"/>
        <v>2398.6801413122862</v>
      </c>
      <c r="M134" s="4">
        <v>0</v>
      </c>
      <c r="N134" s="4">
        <f t="shared" si="11"/>
        <v>211660.96794318286</v>
      </c>
    </row>
    <row r="135" spans="8:18" x14ac:dyDescent="0.2">
      <c r="H135" s="8">
        <f t="shared" si="6"/>
        <v>49004</v>
      </c>
      <c r="I135" s="3">
        <f t="shared" si="7"/>
        <v>126</v>
      </c>
      <c r="J135" s="4">
        <f t="shared" si="8"/>
        <v>3174.6463656185811</v>
      </c>
      <c r="K135" s="4">
        <f t="shared" si="9"/>
        <v>767.27100879403781</v>
      </c>
      <c r="L135" s="4">
        <f t="shared" si="10"/>
        <v>2407.3753568245434</v>
      </c>
      <c r="M135" s="4">
        <v>0</v>
      </c>
      <c r="N135" s="4">
        <f t="shared" si="11"/>
        <v>209253.59258635831</v>
      </c>
    </row>
    <row r="136" spans="8:18" x14ac:dyDescent="0.2">
      <c r="H136" s="8">
        <f t="shared" si="6"/>
        <v>49035</v>
      </c>
      <c r="I136" s="3">
        <f t="shared" si="7"/>
        <v>127</v>
      </c>
      <c r="J136" s="4">
        <f t="shared" si="8"/>
        <v>3174.6463656185811</v>
      </c>
      <c r="K136" s="4">
        <f t="shared" si="9"/>
        <v>758.54427312554878</v>
      </c>
      <c r="L136" s="4">
        <f t="shared" si="10"/>
        <v>2416.1020924930322</v>
      </c>
      <c r="M136" s="4">
        <v>0</v>
      </c>
      <c r="N136" s="4">
        <f t="shared" si="11"/>
        <v>206837.49049386528</v>
      </c>
    </row>
    <row r="137" spans="8:18" x14ac:dyDescent="0.2">
      <c r="H137" s="8">
        <f t="shared" si="6"/>
        <v>49065</v>
      </c>
      <c r="I137" s="3">
        <f t="shared" si="7"/>
        <v>128</v>
      </c>
      <c r="J137" s="4">
        <f t="shared" si="8"/>
        <v>3174.6463656185811</v>
      </c>
      <c r="K137" s="4">
        <f t="shared" si="9"/>
        <v>749.78590304026159</v>
      </c>
      <c r="L137" s="4">
        <f t="shared" si="10"/>
        <v>2424.8604625783196</v>
      </c>
      <c r="M137" s="4">
        <v>0</v>
      </c>
      <c r="N137" s="4">
        <f t="shared" si="11"/>
        <v>204412.63003128694</v>
      </c>
    </row>
    <row r="138" spans="8:18" x14ac:dyDescent="0.2">
      <c r="H138" s="8">
        <f t="shared" si="6"/>
        <v>49096</v>
      </c>
      <c r="I138" s="3">
        <f t="shared" si="7"/>
        <v>129</v>
      </c>
      <c r="J138" s="4">
        <f t="shared" si="8"/>
        <v>3174.6463656185811</v>
      </c>
      <c r="K138" s="4">
        <f t="shared" si="9"/>
        <v>740.99578386341511</v>
      </c>
      <c r="L138" s="4">
        <f t="shared" si="10"/>
        <v>2433.6505817551661</v>
      </c>
      <c r="M138" s="4">
        <v>0</v>
      </c>
      <c r="N138" s="4">
        <f t="shared" si="11"/>
        <v>201978.97944953176</v>
      </c>
    </row>
    <row r="139" spans="8:18" x14ac:dyDescent="0.2">
      <c r="H139" s="8">
        <f t="shared" ref="H139:H202" si="12">EDATE(H138, 1)</f>
        <v>49126</v>
      </c>
      <c r="I139" s="3">
        <f t="shared" ref="I139:I202" si="13">I138+1</f>
        <v>130</v>
      </c>
      <c r="J139" s="4">
        <f t="shared" ref="J139:J202" si="14">$F$6</f>
        <v>3174.6463656185811</v>
      </c>
      <c r="K139" s="4">
        <f t="shared" ref="K139:K202" si="15" xml:space="preserve"> N138*$F$4</f>
        <v>732.17380050455256</v>
      </c>
      <c r="L139" s="4">
        <f t="shared" ref="L139:L202" si="16">J139-K139</f>
        <v>2442.4725651140284</v>
      </c>
      <c r="M139" s="4">
        <v>0</v>
      </c>
      <c r="N139" s="4">
        <f t="shared" ref="N139:N202" si="17">N138-(L139+M139)</f>
        <v>199536.50688441773</v>
      </c>
    </row>
    <row r="140" spans="8:18" x14ac:dyDescent="0.2">
      <c r="H140" s="8">
        <f t="shared" si="12"/>
        <v>49157</v>
      </c>
      <c r="I140" s="3">
        <f t="shared" si="13"/>
        <v>131</v>
      </c>
      <c r="J140" s="4">
        <f t="shared" si="14"/>
        <v>3174.6463656185811</v>
      </c>
      <c r="K140" s="4">
        <f t="shared" si="15"/>
        <v>723.31983745601417</v>
      </c>
      <c r="L140" s="4">
        <f t="shared" si="16"/>
        <v>2451.3265281625668</v>
      </c>
      <c r="M140" s="4">
        <v>0</v>
      </c>
      <c r="N140" s="4">
        <f t="shared" si="17"/>
        <v>197085.18035625515</v>
      </c>
    </row>
    <row r="141" spans="8:18" x14ac:dyDescent="0.2">
      <c r="H141" s="8">
        <f t="shared" si="12"/>
        <v>49188</v>
      </c>
      <c r="I141" s="3">
        <f t="shared" si="13"/>
        <v>132</v>
      </c>
      <c r="J141" s="4">
        <f t="shared" si="14"/>
        <v>3174.6463656185811</v>
      </c>
      <c r="K141" s="4">
        <f t="shared" si="15"/>
        <v>714.43377879142486</v>
      </c>
      <c r="L141" s="4">
        <f t="shared" si="16"/>
        <v>2460.212586827156</v>
      </c>
      <c r="M141" s="4">
        <v>0</v>
      </c>
      <c r="N141" s="4">
        <f t="shared" si="17"/>
        <v>194624.96776942798</v>
      </c>
    </row>
    <row r="142" spans="8:18" x14ac:dyDescent="0.2">
      <c r="H142" s="8">
        <f t="shared" si="12"/>
        <v>49218</v>
      </c>
      <c r="I142" s="3">
        <f t="shared" si="13"/>
        <v>133</v>
      </c>
      <c r="J142" s="4">
        <f t="shared" si="14"/>
        <v>3174.6463656185811</v>
      </c>
      <c r="K142" s="4">
        <f t="shared" si="15"/>
        <v>705.51550816417637</v>
      </c>
      <c r="L142" s="4">
        <f t="shared" si="16"/>
        <v>2469.1308574544046</v>
      </c>
      <c r="M142" s="4">
        <v>0</v>
      </c>
      <c r="N142" s="4">
        <f t="shared" si="17"/>
        <v>192155.83691197357</v>
      </c>
    </row>
    <row r="143" spans="8:18" x14ac:dyDescent="0.2">
      <c r="H143" s="8">
        <f t="shared" si="12"/>
        <v>49249</v>
      </c>
      <c r="I143" s="3">
        <f t="shared" si="13"/>
        <v>134</v>
      </c>
      <c r="J143" s="4">
        <f t="shared" si="14"/>
        <v>3174.6463656185811</v>
      </c>
      <c r="K143" s="4">
        <f t="shared" si="15"/>
        <v>696.56490880590411</v>
      </c>
      <c r="L143" s="4">
        <f t="shared" si="16"/>
        <v>2478.0814568126771</v>
      </c>
      <c r="M143" s="4">
        <v>0</v>
      </c>
      <c r="N143" s="4">
        <f t="shared" si="17"/>
        <v>189677.75545516089</v>
      </c>
    </row>
    <row r="144" spans="8:18" x14ac:dyDescent="0.2">
      <c r="H144" s="8">
        <f t="shared" si="12"/>
        <v>49279</v>
      </c>
      <c r="I144" s="3">
        <f t="shared" si="13"/>
        <v>135</v>
      </c>
      <c r="J144" s="4">
        <f t="shared" si="14"/>
        <v>3174.6463656185811</v>
      </c>
      <c r="K144" s="4">
        <f t="shared" si="15"/>
        <v>687.58186352495818</v>
      </c>
      <c r="L144" s="4">
        <f t="shared" si="16"/>
        <v>2487.0645020936227</v>
      </c>
      <c r="M144" s="4">
        <v>0</v>
      </c>
      <c r="N144" s="4">
        <f t="shared" si="17"/>
        <v>187190.69095306727</v>
      </c>
    </row>
    <row r="145" spans="8:14" x14ac:dyDescent="0.2">
      <c r="H145" s="8">
        <f t="shared" si="12"/>
        <v>49310</v>
      </c>
      <c r="I145" s="3">
        <f t="shared" si="13"/>
        <v>136</v>
      </c>
      <c r="J145" s="4">
        <f t="shared" si="14"/>
        <v>3174.6463656185811</v>
      </c>
      <c r="K145" s="4">
        <f t="shared" si="15"/>
        <v>678.56625470486881</v>
      </c>
      <c r="L145" s="4">
        <f t="shared" si="16"/>
        <v>2496.0801109137124</v>
      </c>
      <c r="M145" s="4">
        <v>0</v>
      </c>
      <c r="N145" s="4">
        <f t="shared" si="17"/>
        <v>184694.61084215355</v>
      </c>
    </row>
    <row r="146" spans="8:14" x14ac:dyDescent="0.2">
      <c r="H146" s="8">
        <f t="shared" si="12"/>
        <v>49341</v>
      </c>
      <c r="I146" s="3">
        <f t="shared" si="13"/>
        <v>137</v>
      </c>
      <c r="J146" s="4">
        <f t="shared" si="14"/>
        <v>3174.6463656185811</v>
      </c>
      <c r="K146" s="4">
        <f t="shared" si="15"/>
        <v>669.5179643028066</v>
      </c>
      <c r="L146" s="4">
        <f t="shared" si="16"/>
        <v>2505.1284013157747</v>
      </c>
      <c r="M146" s="4">
        <v>0</v>
      </c>
      <c r="N146" s="4">
        <f t="shared" si="17"/>
        <v>182189.48244083778</v>
      </c>
    </row>
    <row r="147" spans="8:14" x14ac:dyDescent="0.2">
      <c r="H147" s="8">
        <f t="shared" si="12"/>
        <v>49369</v>
      </c>
      <c r="I147" s="3">
        <f t="shared" si="13"/>
        <v>138</v>
      </c>
      <c r="J147" s="4">
        <f t="shared" si="14"/>
        <v>3174.6463656185811</v>
      </c>
      <c r="K147" s="4">
        <f t="shared" si="15"/>
        <v>660.43687384803684</v>
      </c>
      <c r="L147" s="4">
        <f t="shared" si="16"/>
        <v>2514.2094917705444</v>
      </c>
      <c r="M147" s="4">
        <v>0</v>
      </c>
      <c r="N147" s="4">
        <f t="shared" si="17"/>
        <v>179675.27294906724</v>
      </c>
    </row>
    <row r="148" spans="8:14" x14ac:dyDescent="0.2">
      <c r="H148" s="8">
        <f t="shared" si="12"/>
        <v>49400</v>
      </c>
      <c r="I148" s="3">
        <f t="shared" si="13"/>
        <v>139</v>
      </c>
      <c r="J148" s="4">
        <f t="shared" si="14"/>
        <v>3174.6463656185811</v>
      </c>
      <c r="K148" s="4">
        <f t="shared" si="15"/>
        <v>651.32286444036868</v>
      </c>
      <c r="L148" s="4">
        <f t="shared" si="16"/>
        <v>2523.3235011782126</v>
      </c>
      <c r="M148" s="4">
        <v>0</v>
      </c>
      <c r="N148" s="4">
        <f t="shared" si="17"/>
        <v>177151.94944788903</v>
      </c>
    </row>
    <row r="149" spans="8:14" x14ac:dyDescent="0.2">
      <c r="H149" s="8">
        <f t="shared" si="12"/>
        <v>49430</v>
      </c>
      <c r="I149" s="3">
        <f t="shared" si="13"/>
        <v>140</v>
      </c>
      <c r="J149" s="4">
        <f t="shared" si="14"/>
        <v>3174.6463656185811</v>
      </c>
      <c r="K149" s="4">
        <f t="shared" si="15"/>
        <v>642.17581674859764</v>
      </c>
      <c r="L149" s="4">
        <f t="shared" si="16"/>
        <v>2532.4705488699833</v>
      </c>
      <c r="M149" s="4">
        <v>0</v>
      </c>
      <c r="N149" s="4">
        <f t="shared" si="17"/>
        <v>174619.47889901904</v>
      </c>
    </row>
    <row r="150" spans="8:14" x14ac:dyDescent="0.2">
      <c r="H150" s="8">
        <f t="shared" si="12"/>
        <v>49461</v>
      </c>
      <c r="I150" s="3">
        <f t="shared" si="13"/>
        <v>141</v>
      </c>
      <c r="J150" s="4">
        <f t="shared" si="14"/>
        <v>3174.6463656185811</v>
      </c>
      <c r="K150" s="4">
        <f t="shared" si="15"/>
        <v>632.99561100894402</v>
      </c>
      <c r="L150" s="4">
        <f t="shared" si="16"/>
        <v>2541.6507546096373</v>
      </c>
      <c r="M150" s="4">
        <v>0</v>
      </c>
      <c r="N150" s="4">
        <f t="shared" si="17"/>
        <v>172077.8281444094</v>
      </c>
    </row>
    <row r="151" spans="8:14" x14ac:dyDescent="0.2">
      <c r="H151" s="8">
        <f t="shared" si="12"/>
        <v>49491</v>
      </c>
      <c r="I151" s="3">
        <f t="shared" si="13"/>
        <v>142</v>
      </c>
      <c r="J151" s="4">
        <f t="shared" si="14"/>
        <v>3174.6463656185811</v>
      </c>
      <c r="K151" s="4">
        <f t="shared" si="15"/>
        <v>623.78212702348401</v>
      </c>
      <c r="L151" s="4">
        <f t="shared" si="16"/>
        <v>2550.864238595097</v>
      </c>
      <c r="M151" s="4">
        <v>0</v>
      </c>
      <c r="N151" s="4">
        <f t="shared" si="17"/>
        <v>169526.96390581431</v>
      </c>
    </row>
    <row r="152" spans="8:14" x14ac:dyDescent="0.2">
      <c r="H152" s="8">
        <f t="shared" si="12"/>
        <v>49522</v>
      </c>
      <c r="I152" s="3">
        <f t="shared" si="13"/>
        <v>143</v>
      </c>
      <c r="J152" s="4">
        <f t="shared" si="14"/>
        <v>3174.6463656185811</v>
      </c>
      <c r="K152" s="4">
        <f t="shared" si="15"/>
        <v>614.5352441585768</v>
      </c>
      <c r="L152" s="4">
        <f t="shared" si="16"/>
        <v>2560.1111214600041</v>
      </c>
      <c r="M152" s="4">
        <v>0</v>
      </c>
      <c r="N152" s="4">
        <f t="shared" si="17"/>
        <v>166966.8527843543</v>
      </c>
    </row>
    <row r="153" spans="8:14" x14ac:dyDescent="0.2">
      <c r="H153" s="8">
        <f t="shared" si="12"/>
        <v>49553</v>
      </c>
      <c r="I153" s="3">
        <f t="shared" si="13"/>
        <v>144</v>
      </c>
      <c r="J153" s="4">
        <f t="shared" si="14"/>
        <v>3174.6463656185811</v>
      </c>
      <c r="K153" s="4">
        <f t="shared" si="15"/>
        <v>605.25484134328428</v>
      </c>
      <c r="L153" s="4">
        <f t="shared" si="16"/>
        <v>2569.3915242752969</v>
      </c>
      <c r="M153" s="4">
        <v>0</v>
      </c>
      <c r="N153" s="4">
        <f t="shared" si="17"/>
        <v>164397.461260079</v>
      </c>
    </row>
    <row r="154" spans="8:14" x14ac:dyDescent="0.2">
      <c r="H154" s="8">
        <f t="shared" si="12"/>
        <v>49583</v>
      </c>
      <c r="I154" s="3">
        <f t="shared" si="13"/>
        <v>145</v>
      </c>
      <c r="J154" s="4">
        <f t="shared" si="14"/>
        <v>3174.6463656185811</v>
      </c>
      <c r="K154" s="4">
        <f t="shared" si="15"/>
        <v>595.94079706778632</v>
      </c>
      <c r="L154" s="4">
        <f t="shared" si="16"/>
        <v>2578.7055685507949</v>
      </c>
      <c r="M154" s="4">
        <v>0</v>
      </c>
      <c r="N154" s="4">
        <f t="shared" si="17"/>
        <v>161818.7556915282</v>
      </c>
    </row>
    <row r="155" spans="8:14" x14ac:dyDescent="0.2">
      <c r="H155" s="8">
        <f t="shared" si="12"/>
        <v>49614</v>
      </c>
      <c r="I155" s="3">
        <f t="shared" si="13"/>
        <v>146</v>
      </c>
      <c r="J155" s="4">
        <f t="shared" si="14"/>
        <v>3174.6463656185811</v>
      </c>
      <c r="K155" s="4">
        <f t="shared" si="15"/>
        <v>586.59298938178972</v>
      </c>
      <c r="L155" s="4">
        <f t="shared" si="16"/>
        <v>2588.0533762367913</v>
      </c>
      <c r="M155" s="4">
        <v>0</v>
      </c>
      <c r="N155" s="4">
        <f t="shared" si="17"/>
        <v>159230.70231529142</v>
      </c>
    </row>
    <row r="156" spans="8:14" x14ac:dyDescent="0.2">
      <c r="H156" s="8">
        <f t="shared" si="12"/>
        <v>49644</v>
      </c>
      <c r="I156" s="3">
        <f t="shared" si="13"/>
        <v>147</v>
      </c>
      <c r="J156" s="4">
        <f t="shared" si="14"/>
        <v>3174.6463656185811</v>
      </c>
      <c r="K156" s="4">
        <f t="shared" si="15"/>
        <v>577.21129589293139</v>
      </c>
      <c r="L156" s="4">
        <f t="shared" si="16"/>
        <v>2597.4350697256496</v>
      </c>
      <c r="M156" s="4">
        <v>0</v>
      </c>
      <c r="N156" s="4">
        <f t="shared" si="17"/>
        <v>156633.26724556577</v>
      </c>
    </row>
    <row r="157" spans="8:14" x14ac:dyDescent="0.2">
      <c r="H157" s="8">
        <f t="shared" si="12"/>
        <v>49675</v>
      </c>
      <c r="I157" s="3">
        <f t="shared" si="13"/>
        <v>148</v>
      </c>
      <c r="J157" s="4">
        <f t="shared" si="14"/>
        <v>3174.6463656185811</v>
      </c>
      <c r="K157" s="4">
        <f t="shared" si="15"/>
        <v>567.79559376517591</v>
      </c>
      <c r="L157" s="4">
        <f t="shared" si="16"/>
        <v>2606.8507718534051</v>
      </c>
      <c r="M157" s="4">
        <v>0</v>
      </c>
      <c r="N157" s="4">
        <f t="shared" si="17"/>
        <v>154026.41647371236</v>
      </c>
    </row>
    <row r="158" spans="8:14" x14ac:dyDescent="0.2">
      <c r="H158" s="8">
        <f t="shared" si="12"/>
        <v>49706</v>
      </c>
      <c r="I158" s="3">
        <f t="shared" si="13"/>
        <v>149</v>
      </c>
      <c r="J158" s="4">
        <f t="shared" si="14"/>
        <v>3174.6463656185811</v>
      </c>
      <c r="K158" s="4">
        <f t="shared" si="15"/>
        <v>558.34575971720733</v>
      </c>
      <c r="L158" s="4">
        <f t="shared" si="16"/>
        <v>2616.3006059013737</v>
      </c>
      <c r="M158" s="4">
        <v>0</v>
      </c>
      <c r="N158" s="4">
        <f t="shared" si="17"/>
        <v>151410.11586781099</v>
      </c>
    </row>
    <row r="159" spans="8:14" x14ac:dyDescent="0.2">
      <c r="H159" s="8">
        <f t="shared" si="12"/>
        <v>49735</v>
      </c>
      <c r="I159" s="3">
        <f t="shared" si="13"/>
        <v>150</v>
      </c>
      <c r="J159" s="4">
        <f t="shared" si="14"/>
        <v>3174.6463656185811</v>
      </c>
      <c r="K159" s="4">
        <f t="shared" si="15"/>
        <v>548.86167002081481</v>
      </c>
      <c r="L159" s="4">
        <f t="shared" si="16"/>
        <v>2625.7846955977661</v>
      </c>
      <c r="M159" s="4">
        <v>0</v>
      </c>
      <c r="N159" s="4">
        <f t="shared" si="17"/>
        <v>148784.33117221322</v>
      </c>
    </row>
    <row r="160" spans="8:14" x14ac:dyDescent="0.2">
      <c r="H160" s="8">
        <f t="shared" si="12"/>
        <v>49766</v>
      </c>
      <c r="I160" s="3">
        <f t="shared" si="13"/>
        <v>151</v>
      </c>
      <c r="J160" s="4">
        <f t="shared" si="14"/>
        <v>3174.6463656185811</v>
      </c>
      <c r="K160" s="4">
        <f t="shared" si="15"/>
        <v>539.34320049927294</v>
      </c>
      <c r="L160" s="4">
        <f t="shared" si="16"/>
        <v>2635.3031651193082</v>
      </c>
      <c r="M160" s="4">
        <v>0</v>
      </c>
      <c r="N160" s="4">
        <f t="shared" si="17"/>
        <v>146149.0280070939</v>
      </c>
    </row>
    <row r="161" spans="8:14" x14ac:dyDescent="0.2">
      <c r="H161" s="8">
        <f t="shared" si="12"/>
        <v>49796</v>
      </c>
      <c r="I161" s="3">
        <f t="shared" si="13"/>
        <v>152</v>
      </c>
      <c r="J161" s="4">
        <f t="shared" si="14"/>
        <v>3174.6463656185811</v>
      </c>
      <c r="K161" s="4">
        <f t="shared" si="15"/>
        <v>529.79022652571541</v>
      </c>
      <c r="L161" s="4">
        <f t="shared" si="16"/>
        <v>2644.8561390928658</v>
      </c>
      <c r="M161" s="4">
        <v>0</v>
      </c>
      <c r="N161" s="4">
        <f t="shared" si="17"/>
        <v>143504.17186800105</v>
      </c>
    </row>
    <row r="162" spans="8:14" x14ac:dyDescent="0.2">
      <c r="H162" s="8">
        <f t="shared" si="12"/>
        <v>49827</v>
      </c>
      <c r="I162" s="3">
        <f t="shared" si="13"/>
        <v>153</v>
      </c>
      <c r="J162" s="4">
        <f t="shared" si="14"/>
        <v>3174.6463656185811</v>
      </c>
      <c r="K162" s="4">
        <f t="shared" si="15"/>
        <v>520.20262302150377</v>
      </c>
      <c r="L162" s="4">
        <f t="shared" si="16"/>
        <v>2654.4437425970773</v>
      </c>
      <c r="M162" s="4">
        <v>0</v>
      </c>
      <c r="N162" s="4">
        <f t="shared" si="17"/>
        <v>140849.72812540398</v>
      </c>
    </row>
    <row r="163" spans="8:14" x14ac:dyDescent="0.2">
      <c r="H163" s="8">
        <f t="shared" si="12"/>
        <v>49857</v>
      </c>
      <c r="I163" s="3">
        <f t="shared" si="13"/>
        <v>154</v>
      </c>
      <c r="J163" s="4">
        <f t="shared" si="14"/>
        <v>3174.6463656185811</v>
      </c>
      <c r="K163" s="4">
        <f t="shared" si="15"/>
        <v>510.58026445458938</v>
      </c>
      <c r="L163" s="4">
        <f t="shared" si="16"/>
        <v>2664.0661011639918</v>
      </c>
      <c r="M163" s="4">
        <v>0</v>
      </c>
      <c r="N163" s="4">
        <f t="shared" si="17"/>
        <v>138185.66202423998</v>
      </c>
    </row>
    <row r="164" spans="8:14" x14ac:dyDescent="0.2">
      <c r="H164" s="8">
        <f t="shared" si="12"/>
        <v>49888</v>
      </c>
      <c r="I164" s="3">
        <f t="shared" si="13"/>
        <v>155</v>
      </c>
      <c r="J164" s="4">
        <f t="shared" si="14"/>
        <v>3174.6463656185811</v>
      </c>
      <c r="K164" s="4">
        <f t="shared" si="15"/>
        <v>500.92302483786989</v>
      </c>
      <c r="L164" s="4">
        <f t="shared" si="16"/>
        <v>2673.7233407807112</v>
      </c>
      <c r="M164" s="4">
        <v>0</v>
      </c>
      <c r="N164" s="4">
        <f t="shared" si="17"/>
        <v>135511.93868345927</v>
      </c>
    </row>
    <row r="165" spans="8:14" x14ac:dyDescent="0.2">
      <c r="H165" s="8">
        <f t="shared" si="12"/>
        <v>49919</v>
      </c>
      <c r="I165" s="3">
        <f t="shared" si="13"/>
        <v>156</v>
      </c>
      <c r="J165" s="4">
        <f t="shared" si="14"/>
        <v>3174.6463656185811</v>
      </c>
      <c r="K165" s="4">
        <f t="shared" si="15"/>
        <v>491.23077772753982</v>
      </c>
      <c r="L165" s="4">
        <f t="shared" si="16"/>
        <v>2683.4155878910415</v>
      </c>
      <c r="M165" s="4">
        <v>0</v>
      </c>
      <c r="N165" s="4">
        <f t="shared" si="17"/>
        <v>132828.52309556823</v>
      </c>
    </row>
    <row r="166" spans="8:14" x14ac:dyDescent="0.2">
      <c r="H166" s="8">
        <f t="shared" si="12"/>
        <v>49949</v>
      </c>
      <c r="I166" s="3">
        <f t="shared" si="13"/>
        <v>157</v>
      </c>
      <c r="J166" s="4">
        <f t="shared" si="14"/>
        <v>3174.6463656185811</v>
      </c>
      <c r="K166" s="4">
        <f t="shared" si="15"/>
        <v>481.5033962214348</v>
      </c>
      <c r="L166" s="4">
        <f t="shared" si="16"/>
        <v>2693.1429693971463</v>
      </c>
      <c r="M166" s="4">
        <v>0</v>
      </c>
      <c r="N166" s="4">
        <f t="shared" si="17"/>
        <v>130135.38012617109</v>
      </c>
    </row>
    <row r="167" spans="8:14" x14ac:dyDescent="0.2">
      <c r="H167" s="8">
        <f t="shared" si="12"/>
        <v>49980</v>
      </c>
      <c r="I167" s="3">
        <f t="shared" si="13"/>
        <v>158</v>
      </c>
      <c r="J167" s="4">
        <f t="shared" si="14"/>
        <v>3174.6463656185811</v>
      </c>
      <c r="K167" s="4">
        <f t="shared" si="15"/>
        <v>471.74075295737015</v>
      </c>
      <c r="L167" s="4">
        <f t="shared" si="16"/>
        <v>2702.9056126612109</v>
      </c>
      <c r="M167" s="4">
        <v>0</v>
      </c>
      <c r="N167" s="4">
        <f t="shared" si="17"/>
        <v>127432.47451350988</v>
      </c>
    </row>
    <row r="168" spans="8:14" x14ac:dyDescent="0.2">
      <c r="H168" s="8">
        <f t="shared" si="12"/>
        <v>50010</v>
      </c>
      <c r="I168" s="3">
        <f t="shared" si="13"/>
        <v>159</v>
      </c>
      <c r="J168" s="4">
        <f t="shared" si="14"/>
        <v>3174.6463656185811</v>
      </c>
      <c r="K168" s="4">
        <f t="shared" si="15"/>
        <v>461.94272011147325</v>
      </c>
      <c r="L168" s="4">
        <f t="shared" si="16"/>
        <v>2712.7036455071079</v>
      </c>
      <c r="M168" s="4">
        <v>0</v>
      </c>
      <c r="N168" s="4">
        <f t="shared" si="17"/>
        <v>124719.77086800277</v>
      </c>
    </row>
    <row r="169" spans="8:14" x14ac:dyDescent="0.2">
      <c r="H169" s="8">
        <f t="shared" si="12"/>
        <v>50041</v>
      </c>
      <c r="I169" s="3">
        <f t="shared" si="13"/>
        <v>160</v>
      </c>
      <c r="J169" s="4">
        <f t="shared" si="14"/>
        <v>3174.6463656185811</v>
      </c>
      <c r="K169" s="4">
        <f t="shared" si="15"/>
        <v>452.10916939651003</v>
      </c>
      <c r="L169" s="4">
        <f t="shared" si="16"/>
        <v>2722.5371962220711</v>
      </c>
      <c r="M169" s="4">
        <v>0</v>
      </c>
      <c r="N169" s="4">
        <f t="shared" si="17"/>
        <v>121997.2336717807</v>
      </c>
    </row>
    <row r="170" spans="8:14" x14ac:dyDescent="0.2">
      <c r="H170" s="8">
        <f t="shared" si="12"/>
        <v>50072</v>
      </c>
      <c r="I170" s="3">
        <f t="shared" si="13"/>
        <v>161</v>
      </c>
      <c r="J170" s="4">
        <f t="shared" si="14"/>
        <v>3174.6463656185811</v>
      </c>
      <c r="K170" s="4">
        <f t="shared" si="15"/>
        <v>442.23997206020505</v>
      </c>
      <c r="L170" s="4">
        <f t="shared" si="16"/>
        <v>2732.4063935583758</v>
      </c>
      <c r="M170" s="4">
        <v>0</v>
      </c>
      <c r="N170" s="4">
        <f t="shared" si="17"/>
        <v>119264.82727822234</v>
      </c>
    </row>
    <row r="171" spans="8:14" x14ac:dyDescent="0.2">
      <c r="H171" s="8">
        <f t="shared" si="12"/>
        <v>50100</v>
      </c>
      <c r="I171" s="3">
        <f t="shared" si="13"/>
        <v>162</v>
      </c>
      <c r="J171" s="4">
        <f t="shared" si="14"/>
        <v>3174.6463656185811</v>
      </c>
      <c r="K171" s="4">
        <f t="shared" si="15"/>
        <v>432.33499888355595</v>
      </c>
      <c r="L171" s="4">
        <f t="shared" si="16"/>
        <v>2742.3113667350253</v>
      </c>
      <c r="M171" s="4">
        <v>0</v>
      </c>
      <c r="N171" s="4">
        <f t="shared" si="17"/>
        <v>116522.51591148731</v>
      </c>
    </row>
    <row r="172" spans="8:14" x14ac:dyDescent="0.2">
      <c r="H172" s="8">
        <f t="shared" si="12"/>
        <v>50131</v>
      </c>
      <c r="I172" s="3">
        <f t="shared" si="13"/>
        <v>163</v>
      </c>
      <c r="J172" s="4">
        <f t="shared" si="14"/>
        <v>3174.6463656185811</v>
      </c>
      <c r="K172" s="4">
        <f t="shared" si="15"/>
        <v>422.39412017914145</v>
      </c>
      <c r="L172" s="4">
        <f t="shared" si="16"/>
        <v>2752.2522454394398</v>
      </c>
      <c r="M172" s="4">
        <v>0</v>
      </c>
      <c r="N172" s="4">
        <f t="shared" si="17"/>
        <v>113770.26366604787</v>
      </c>
    </row>
    <row r="173" spans="8:14" x14ac:dyDescent="0.2">
      <c r="H173" s="8">
        <f t="shared" si="12"/>
        <v>50161</v>
      </c>
      <c r="I173" s="3">
        <f t="shared" si="13"/>
        <v>164</v>
      </c>
      <c r="J173" s="4">
        <f t="shared" si="14"/>
        <v>3174.6463656185811</v>
      </c>
      <c r="K173" s="4">
        <f t="shared" si="15"/>
        <v>412.41720578942352</v>
      </c>
      <c r="L173" s="4">
        <f t="shared" si="16"/>
        <v>2762.2291598291577</v>
      </c>
      <c r="M173" s="4">
        <v>0</v>
      </c>
      <c r="N173" s="4">
        <f t="shared" si="17"/>
        <v>111008.03450621871</v>
      </c>
    </row>
    <row r="174" spans="8:14" x14ac:dyDescent="0.2">
      <c r="H174" s="8">
        <f t="shared" si="12"/>
        <v>50192</v>
      </c>
      <c r="I174" s="3">
        <f t="shared" si="13"/>
        <v>165</v>
      </c>
      <c r="J174" s="4">
        <f t="shared" si="14"/>
        <v>3174.6463656185811</v>
      </c>
      <c r="K174" s="4">
        <f t="shared" si="15"/>
        <v>402.40412508504278</v>
      </c>
      <c r="L174" s="4">
        <f t="shared" si="16"/>
        <v>2772.2422405335383</v>
      </c>
      <c r="M174" s="4">
        <v>0</v>
      </c>
      <c r="N174" s="4">
        <f t="shared" si="17"/>
        <v>108235.79226568517</v>
      </c>
    </row>
    <row r="175" spans="8:14" x14ac:dyDescent="0.2">
      <c r="H175" s="8">
        <f t="shared" si="12"/>
        <v>50222</v>
      </c>
      <c r="I175" s="3">
        <f t="shared" si="13"/>
        <v>166</v>
      </c>
      <c r="J175" s="4">
        <f t="shared" si="14"/>
        <v>3174.6463656185811</v>
      </c>
      <c r="K175" s="4">
        <f t="shared" si="15"/>
        <v>392.35474696310871</v>
      </c>
      <c r="L175" s="4">
        <f t="shared" si="16"/>
        <v>2782.2916186554721</v>
      </c>
      <c r="M175" s="4">
        <v>0</v>
      </c>
      <c r="N175" s="4">
        <f t="shared" si="17"/>
        <v>105453.50064702969</v>
      </c>
    </row>
    <row r="176" spans="8:14" x14ac:dyDescent="0.2">
      <c r="H176" s="8">
        <f t="shared" si="12"/>
        <v>50253</v>
      </c>
      <c r="I176" s="3">
        <f t="shared" si="13"/>
        <v>167</v>
      </c>
      <c r="J176" s="4">
        <f t="shared" si="14"/>
        <v>3174.6463656185811</v>
      </c>
      <c r="K176" s="4">
        <f t="shared" si="15"/>
        <v>382.26893984548263</v>
      </c>
      <c r="L176" s="4">
        <f t="shared" si="16"/>
        <v>2792.3774257730984</v>
      </c>
      <c r="M176" s="4">
        <v>0</v>
      </c>
      <c r="N176" s="4">
        <f t="shared" si="17"/>
        <v>102661.1232212566</v>
      </c>
    </row>
    <row r="177" spans="8:14" x14ac:dyDescent="0.2">
      <c r="H177" s="8">
        <f t="shared" si="12"/>
        <v>50284</v>
      </c>
      <c r="I177" s="3">
        <f t="shared" si="13"/>
        <v>168</v>
      </c>
      <c r="J177" s="4">
        <f t="shared" si="14"/>
        <v>3174.6463656185811</v>
      </c>
      <c r="K177" s="4">
        <f t="shared" si="15"/>
        <v>372.14657167705514</v>
      </c>
      <c r="L177" s="4">
        <f t="shared" si="16"/>
        <v>2802.4997939415261</v>
      </c>
      <c r="M177" s="4">
        <v>0</v>
      </c>
      <c r="N177" s="4">
        <f t="shared" si="17"/>
        <v>99858.623427315062</v>
      </c>
    </row>
    <row r="178" spans="8:14" x14ac:dyDescent="0.2">
      <c r="H178" s="8">
        <f t="shared" si="12"/>
        <v>50314</v>
      </c>
      <c r="I178" s="3">
        <f t="shared" si="13"/>
        <v>169</v>
      </c>
      <c r="J178" s="4">
        <f t="shared" si="14"/>
        <v>3174.6463656185811</v>
      </c>
      <c r="K178" s="4">
        <f t="shared" si="15"/>
        <v>361.98750992401705</v>
      </c>
      <c r="L178" s="4">
        <f t="shared" si="16"/>
        <v>2812.658855694564</v>
      </c>
      <c r="M178" s="4">
        <v>0</v>
      </c>
      <c r="N178" s="4">
        <f t="shared" si="17"/>
        <v>97045.964571620498</v>
      </c>
    </row>
    <row r="179" spans="8:14" x14ac:dyDescent="0.2">
      <c r="H179" s="8">
        <f t="shared" si="12"/>
        <v>50345</v>
      </c>
      <c r="I179" s="3">
        <f t="shared" si="13"/>
        <v>170</v>
      </c>
      <c r="J179" s="4">
        <f t="shared" si="14"/>
        <v>3174.6463656185811</v>
      </c>
      <c r="K179" s="4">
        <f t="shared" si="15"/>
        <v>351.79162157212426</v>
      </c>
      <c r="L179" s="4">
        <f t="shared" si="16"/>
        <v>2822.8547440464567</v>
      </c>
      <c r="M179" s="4">
        <v>0</v>
      </c>
      <c r="N179" s="4">
        <f t="shared" si="17"/>
        <v>94223.109827574037</v>
      </c>
    </row>
    <row r="180" spans="8:14" x14ac:dyDescent="0.2">
      <c r="H180" s="8">
        <f t="shared" si="12"/>
        <v>50375</v>
      </c>
      <c r="I180" s="3">
        <f t="shared" si="13"/>
        <v>171</v>
      </c>
      <c r="J180" s="4">
        <f t="shared" si="14"/>
        <v>3174.6463656185811</v>
      </c>
      <c r="K180" s="4">
        <f t="shared" si="15"/>
        <v>341.55877312495585</v>
      </c>
      <c r="L180" s="4">
        <f t="shared" si="16"/>
        <v>2833.0875924936254</v>
      </c>
      <c r="M180" s="4">
        <v>0</v>
      </c>
      <c r="N180" s="4">
        <f t="shared" si="17"/>
        <v>91390.022235080411</v>
      </c>
    </row>
    <row r="181" spans="8:14" x14ac:dyDescent="0.2">
      <c r="H181" s="8">
        <f t="shared" si="12"/>
        <v>50406</v>
      </c>
      <c r="I181" s="3">
        <f t="shared" si="13"/>
        <v>172</v>
      </c>
      <c r="J181" s="4">
        <f t="shared" si="14"/>
        <v>3174.6463656185811</v>
      </c>
      <c r="K181" s="4">
        <f t="shared" si="15"/>
        <v>331.28883060216646</v>
      </c>
      <c r="L181" s="4">
        <f t="shared" si="16"/>
        <v>2843.3575350164147</v>
      </c>
      <c r="M181" s="4">
        <v>0</v>
      </c>
      <c r="N181" s="4">
        <f t="shared" si="17"/>
        <v>88546.664700063993</v>
      </c>
    </row>
    <row r="182" spans="8:14" x14ac:dyDescent="0.2">
      <c r="H182" s="8">
        <f t="shared" si="12"/>
        <v>50437</v>
      </c>
      <c r="I182" s="3">
        <f t="shared" si="13"/>
        <v>173</v>
      </c>
      <c r="J182" s="4">
        <f t="shared" si="14"/>
        <v>3174.6463656185811</v>
      </c>
      <c r="K182" s="4">
        <f t="shared" si="15"/>
        <v>320.98165953773196</v>
      </c>
      <c r="L182" s="4">
        <f t="shared" si="16"/>
        <v>2853.6647060808491</v>
      </c>
      <c r="M182" s="4">
        <v>0</v>
      </c>
      <c r="N182" s="4">
        <f t="shared" si="17"/>
        <v>85692.999993983147</v>
      </c>
    </row>
    <row r="183" spans="8:14" x14ac:dyDescent="0.2">
      <c r="H183" s="8">
        <f t="shared" si="12"/>
        <v>50465</v>
      </c>
      <c r="I183" s="3">
        <f t="shared" si="13"/>
        <v>174</v>
      </c>
      <c r="J183" s="4">
        <f t="shared" si="14"/>
        <v>3174.6463656185811</v>
      </c>
      <c r="K183" s="4">
        <f t="shared" si="15"/>
        <v>310.63712497818887</v>
      </c>
      <c r="L183" s="4">
        <f t="shared" si="16"/>
        <v>2864.0092406403924</v>
      </c>
      <c r="M183" s="4">
        <v>0</v>
      </c>
      <c r="N183" s="4">
        <f t="shared" si="17"/>
        <v>82828.990753342761</v>
      </c>
    </row>
    <row r="184" spans="8:14" x14ac:dyDescent="0.2">
      <c r="H184" s="8">
        <f t="shared" si="12"/>
        <v>50496</v>
      </c>
      <c r="I184" s="3">
        <f t="shared" si="13"/>
        <v>175</v>
      </c>
      <c r="J184" s="4">
        <f t="shared" si="14"/>
        <v>3174.6463656185811</v>
      </c>
      <c r="K184" s="4">
        <f t="shared" si="15"/>
        <v>300.25509148086746</v>
      </c>
      <c r="L184" s="4">
        <f t="shared" si="16"/>
        <v>2874.3912741377135</v>
      </c>
      <c r="M184" s="4">
        <v>0</v>
      </c>
      <c r="N184" s="4">
        <f t="shared" si="17"/>
        <v>79954.599479205048</v>
      </c>
    </row>
    <row r="185" spans="8:14" x14ac:dyDescent="0.2">
      <c r="H185" s="8">
        <f t="shared" si="12"/>
        <v>50526</v>
      </c>
      <c r="I185" s="3">
        <f t="shared" si="13"/>
        <v>176</v>
      </c>
      <c r="J185" s="4">
        <f t="shared" si="14"/>
        <v>3174.6463656185811</v>
      </c>
      <c r="K185" s="4">
        <f t="shared" si="15"/>
        <v>289.83542311211829</v>
      </c>
      <c r="L185" s="4">
        <f t="shared" si="16"/>
        <v>2884.8109425064627</v>
      </c>
      <c r="M185" s="4">
        <v>0</v>
      </c>
      <c r="N185" s="4">
        <f t="shared" si="17"/>
        <v>77069.788536698587</v>
      </c>
    </row>
    <row r="186" spans="8:14" x14ac:dyDescent="0.2">
      <c r="H186" s="8">
        <f t="shared" si="12"/>
        <v>50557</v>
      </c>
      <c r="I186" s="3">
        <f t="shared" si="13"/>
        <v>177</v>
      </c>
      <c r="J186" s="4">
        <f t="shared" si="14"/>
        <v>3174.6463656185811</v>
      </c>
      <c r="K186" s="4">
        <f t="shared" si="15"/>
        <v>279.37798344553238</v>
      </c>
      <c r="L186" s="4">
        <f t="shared" si="16"/>
        <v>2895.2683821730488</v>
      </c>
      <c r="M186" s="4">
        <v>0</v>
      </c>
      <c r="N186" s="4">
        <f t="shared" si="17"/>
        <v>74174.52015452554</v>
      </c>
    </row>
    <row r="187" spans="8:14" x14ac:dyDescent="0.2">
      <c r="H187" s="8">
        <f t="shared" si="12"/>
        <v>50587</v>
      </c>
      <c r="I187" s="3">
        <f t="shared" si="13"/>
        <v>178</v>
      </c>
      <c r="J187" s="4">
        <f t="shared" si="14"/>
        <v>3174.6463656185811</v>
      </c>
      <c r="K187" s="4">
        <f t="shared" si="15"/>
        <v>268.88263556015505</v>
      </c>
      <c r="L187" s="4">
        <f t="shared" si="16"/>
        <v>2905.7637300584261</v>
      </c>
      <c r="M187" s="4">
        <v>0</v>
      </c>
      <c r="N187" s="4">
        <f t="shared" si="17"/>
        <v>71268.756424467108</v>
      </c>
    </row>
    <row r="188" spans="8:14" x14ac:dyDescent="0.2">
      <c r="H188" s="8">
        <f t="shared" si="12"/>
        <v>50618</v>
      </c>
      <c r="I188" s="3">
        <f t="shared" si="13"/>
        <v>179</v>
      </c>
      <c r="J188" s="4">
        <f t="shared" si="14"/>
        <v>3174.6463656185811</v>
      </c>
      <c r="K188" s="4">
        <f t="shared" si="15"/>
        <v>258.34924203869326</v>
      </c>
      <c r="L188" s="4">
        <f t="shared" si="16"/>
        <v>2916.2971235798877</v>
      </c>
      <c r="M188" s="4">
        <v>0</v>
      </c>
      <c r="N188" s="4">
        <f t="shared" si="17"/>
        <v>68352.459300887218</v>
      </c>
    </row>
    <row r="189" spans="8:14" x14ac:dyDescent="0.2">
      <c r="H189" s="8">
        <f t="shared" si="12"/>
        <v>50649</v>
      </c>
      <c r="I189" s="3">
        <f t="shared" si="13"/>
        <v>180</v>
      </c>
      <c r="J189" s="4">
        <f t="shared" si="14"/>
        <v>3174.6463656185811</v>
      </c>
      <c r="K189" s="4">
        <f t="shared" si="15"/>
        <v>247.77766496571616</v>
      </c>
      <c r="L189" s="4">
        <f t="shared" si="16"/>
        <v>2926.8687006528648</v>
      </c>
      <c r="M189" s="4">
        <v>0</v>
      </c>
      <c r="N189" s="4">
        <f t="shared" si="17"/>
        <v>65425.590600234354</v>
      </c>
    </row>
    <row r="190" spans="8:14" x14ac:dyDescent="0.2">
      <c r="H190" s="8">
        <f t="shared" si="12"/>
        <v>50679</v>
      </c>
      <c r="I190" s="3">
        <f t="shared" si="13"/>
        <v>181</v>
      </c>
      <c r="J190" s="4">
        <f t="shared" si="14"/>
        <v>3174.6463656185811</v>
      </c>
      <c r="K190" s="4">
        <f t="shared" si="15"/>
        <v>237.16776592584952</v>
      </c>
      <c r="L190" s="4">
        <f t="shared" si="16"/>
        <v>2937.4785996927317</v>
      </c>
      <c r="M190" s="4">
        <v>0</v>
      </c>
      <c r="N190" s="4">
        <f t="shared" si="17"/>
        <v>62488.112000541623</v>
      </c>
    </row>
    <row r="191" spans="8:14" x14ac:dyDescent="0.2">
      <c r="H191" s="8">
        <f t="shared" si="12"/>
        <v>50710</v>
      </c>
      <c r="I191" s="3">
        <f t="shared" si="13"/>
        <v>182</v>
      </c>
      <c r="J191" s="4">
        <f t="shared" si="14"/>
        <v>3174.6463656185811</v>
      </c>
      <c r="K191" s="4">
        <f t="shared" si="15"/>
        <v>226.51940600196338</v>
      </c>
      <c r="L191" s="4">
        <f t="shared" si="16"/>
        <v>2948.1269596166176</v>
      </c>
      <c r="M191" s="4">
        <v>0</v>
      </c>
      <c r="N191" s="4">
        <f t="shared" si="17"/>
        <v>59539.985040925007</v>
      </c>
    </row>
    <row r="192" spans="8:14" x14ac:dyDescent="0.2">
      <c r="H192" s="8">
        <f t="shared" si="12"/>
        <v>50740</v>
      </c>
      <c r="I192" s="3">
        <f t="shared" si="13"/>
        <v>183</v>
      </c>
      <c r="J192" s="4">
        <f t="shared" si="14"/>
        <v>3174.6463656185811</v>
      </c>
      <c r="K192" s="4">
        <f t="shared" si="15"/>
        <v>215.83244577335313</v>
      </c>
      <c r="L192" s="4">
        <f t="shared" si="16"/>
        <v>2958.8139198452282</v>
      </c>
      <c r="M192" s="4">
        <v>0</v>
      </c>
      <c r="N192" s="4">
        <f t="shared" si="17"/>
        <v>56581.17112107978</v>
      </c>
    </row>
    <row r="193" spans="8:14" x14ac:dyDescent="0.2">
      <c r="H193" s="8">
        <f t="shared" si="12"/>
        <v>50771</v>
      </c>
      <c r="I193" s="3">
        <f t="shared" si="13"/>
        <v>184</v>
      </c>
      <c r="J193" s="4">
        <f t="shared" si="14"/>
        <v>3174.6463656185811</v>
      </c>
      <c r="K193" s="4">
        <f t="shared" si="15"/>
        <v>205.10674531391419</v>
      </c>
      <c r="L193" s="4">
        <f t="shared" si="16"/>
        <v>2969.5396203046666</v>
      </c>
      <c r="M193" s="4">
        <v>0</v>
      </c>
      <c r="N193" s="4">
        <f t="shared" si="17"/>
        <v>53611.631500775111</v>
      </c>
    </row>
    <row r="194" spans="8:14" x14ac:dyDescent="0.2">
      <c r="H194" s="8">
        <f t="shared" si="12"/>
        <v>50802</v>
      </c>
      <c r="I194" s="3">
        <f t="shared" si="13"/>
        <v>185</v>
      </c>
      <c r="J194" s="4">
        <f t="shared" si="14"/>
        <v>3174.6463656185811</v>
      </c>
      <c r="K194" s="4">
        <f t="shared" si="15"/>
        <v>194.34216419030977</v>
      </c>
      <c r="L194" s="4">
        <f t="shared" si="16"/>
        <v>2980.3042014282714</v>
      </c>
      <c r="M194" s="4">
        <v>0</v>
      </c>
      <c r="N194" s="4">
        <f t="shared" si="17"/>
        <v>50631.327299346842</v>
      </c>
    </row>
    <row r="195" spans="8:14" x14ac:dyDescent="0.2">
      <c r="H195" s="8">
        <f t="shared" si="12"/>
        <v>50830</v>
      </c>
      <c r="I195" s="3">
        <f t="shared" si="13"/>
        <v>186</v>
      </c>
      <c r="J195" s="4">
        <f t="shared" si="14"/>
        <v>3174.6463656185811</v>
      </c>
      <c r="K195" s="4">
        <f t="shared" si="15"/>
        <v>183.53856146013229</v>
      </c>
      <c r="L195" s="4">
        <f t="shared" si="16"/>
        <v>2991.1078041584487</v>
      </c>
      <c r="M195" s="4">
        <v>0</v>
      </c>
      <c r="N195" s="4">
        <f t="shared" si="17"/>
        <v>47640.219495188394</v>
      </c>
    </row>
    <row r="196" spans="8:14" x14ac:dyDescent="0.2">
      <c r="H196" s="8">
        <f t="shared" si="12"/>
        <v>50861</v>
      </c>
      <c r="I196" s="3">
        <f t="shared" si="13"/>
        <v>187</v>
      </c>
      <c r="J196" s="4">
        <f t="shared" si="14"/>
        <v>3174.6463656185811</v>
      </c>
      <c r="K196" s="4">
        <f t="shared" si="15"/>
        <v>172.69579567005792</v>
      </c>
      <c r="L196" s="4">
        <f t="shared" si="16"/>
        <v>3001.950569948523</v>
      </c>
      <c r="M196" s="4">
        <v>0</v>
      </c>
      <c r="N196" s="4">
        <f t="shared" si="17"/>
        <v>44638.26892523987</v>
      </c>
    </row>
    <row r="197" spans="8:14" x14ac:dyDescent="0.2">
      <c r="H197" s="8">
        <f t="shared" si="12"/>
        <v>50891</v>
      </c>
      <c r="I197" s="3">
        <f t="shared" si="13"/>
        <v>188</v>
      </c>
      <c r="J197" s="4">
        <f t="shared" si="14"/>
        <v>3174.6463656185811</v>
      </c>
      <c r="K197" s="4">
        <f t="shared" si="15"/>
        <v>161.81372485399453</v>
      </c>
      <c r="L197" s="4">
        <f t="shared" si="16"/>
        <v>3012.8326407645864</v>
      </c>
      <c r="M197" s="4">
        <v>0</v>
      </c>
      <c r="N197" s="4">
        <f t="shared" si="17"/>
        <v>41625.436284475283</v>
      </c>
    </row>
    <row r="198" spans="8:14" x14ac:dyDescent="0.2">
      <c r="H198" s="8">
        <f t="shared" si="12"/>
        <v>50922</v>
      </c>
      <c r="I198" s="3">
        <f t="shared" si="13"/>
        <v>189</v>
      </c>
      <c r="J198" s="4">
        <f t="shared" si="14"/>
        <v>3174.6463656185811</v>
      </c>
      <c r="K198" s="4">
        <f t="shared" si="15"/>
        <v>150.89220653122288</v>
      </c>
      <c r="L198" s="4">
        <f t="shared" si="16"/>
        <v>3023.7541590873579</v>
      </c>
      <c r="M198" s="4">
        <v>0</v>
      </c>
      <c r="N198" s="4">
        <f t="shared" si="17"/>
        <v>38601.682125387924</v>
      </c>
    </row>
    <row r="199" spans="8:14" x14ac:dyDescent="0.2">
      <c r="H199" s="8">
        <f t="shared" si="12"/>
        <v>50952</v>
      </c>
      <c r="I199" s="3">
        <f t="shared" si="13"/>
        <v>190</v>
      </c>
      <c r="J199" s="4">
        <f t="shared" si="14"/>
        <v>3174.6463656185811</v>
      </c>
      <c r="K199" s="4">
        <f t="shared" si="15"/>
        <v>139.93109770453123</v>
      </c>
      <c r="L199" s="4">
        <f t="shared" si="16"/>
        <v>3034.7152679140499</v>
      </c>
      <c r="M199" s="4">
        <v>0</v>
      </c>
      <c r="N199" s="4">
        <f t="shared" si="17"/>
        <v>35566.966857473875</v>
      </c>
    </row>
    <row r="200" spans="8:14" x14ac:dyDescent="0.2">
      <c r="H200" s="8">
        <f t="shared" si="12"/>
        <v>50983</v>
      </c>
      <c r="I200" s="3">
        <f t="shared" si="13"/>
        <v>191</v>
      </c>
      <c r="J200" s="4">
        <f t="shared" si="14"/>
        <v>3174.6463656185811</v>
      </c>
      <c r="K200" s="4">
        <f t="shared" si="15"/>
        <v>128.93025485834278</v>
      </c>
      <c r="L200" s="4">
        <f t="shared" si="16"/>
        <v>3045.7161107602383</v>
      </c>
      <c r="M200" s="4">
        <v>0</v>
      </c>
      <c r="N200" s="4">
        <f t="shared" si="17"/>
        <v>32521.250746713638</v>
      </c>
    </row>
    <row r="201" spans="8:14" x14ac:dyDescent="0.2">
      <c r="H201" s="8">
        <f t="shared" si="12"/>
        <v>51014</v>
      </c>
      <c r="I201" s="3">
        <f t="shared" si="13"/>
        <v>192</v>
      </c>
      <c r="J201" s="4">
        <f t="shared" si="14"/>
        <v>3174.6463656185811</v>
      </c>
      <c r="K201" s="4">
        <f t="shared" si="15"/>
        <v>117.88953395683693</v>
      </c>
      <c r="L201" s="4">
        <f t="shared" si="16"/>
        <v>3056.7568316617439</v>
      </c>
      <c r="M201" s="4">
        <v>0</v>
      </c>
      <c r="N201" s="4">
        <f t="shared" si="17"/>
        <v>29464.493915051895</v>
      </c>
    </row>
    <row r="202" spans="8:14" x14ac:dyDescent="0.2">
      <c r="H202" s="8">
        <f t="shared" si="12"/>
        <v>51044</v>
      </c>
      <c r="I202" s="3">
        <f t="shared" si="13"/>
        <v>193</v>
      </c>
      <c r="J202" s="4">
        <f t="shared" si="14"/>
        <v>3174.6463656185811</v>
      </c>
      <c r="K202" s="4">
        <f t="shared" si="15"/>
        <v>106.80879044206311</v>
      </c>
      <c r="L202" s="4">
        <f t="shared" si="16"/>
        <v>3067.8375751765179</v>
      </c>
      <c r="M202" s="4">
        <v>0</v>
      </c>
      <c r="N202" s="4">
        <f t="shared" si="17"/>
        <v>26396.656339875379</v>
      </c>
    </row>
    <row r="203" spans="8:14" x14ac:dyDescent="0.2">
      <c r="H203" s="8">
        <f t="shared" ref="H203:H266" si="18">EDATE(H202, 1)</f>
        <v>51075</v>
      </c>
      <c r="I203" s="3">
        <f t="shared" ref="I203:I230" si="19">I202+1</f>
        <v>194</v>
      </c>
      <c r="J203" s="4">
        <f t="shared" ref="J203:J266" si="20">$F$6</f>
        <v>3174.6463656185811</v>
      </c>
      <c r="K203" s="4">
        <f t="shared" ref="K203:K266" si="21" xml:space="preserve"> N202*$F$4</f>
        <v>95.687879232048246</v>
      </c>
      <c r="L203" s="4">
        <f t="shared" ref="L203:L266" si="22">J203-K203</f>
        <v>3078.958486386533</v>
      </c>
      <c r="M203" s="4">
        <v>0</v>
      </c>
      <c r="N203" s="4">
        <f t="shared" ref="N203:N266" si="23">N202-(L203+M203)</f>
        <v>23317.697853488848</v>
      </c>
    </row>
    <row r="204" spans="8:14" x14ac:dyDescent="0.2">
      <c r="H204" s="8">
        <f t="shared" si="18"/>
        <v>51105</v>
      </c>
      <c r="I204" s="3">
        <f t="shared" si="19"/>
        <v>195</v>
      </c>
      <c r="J204" s="4">
        <f t="shared" si="20"/>
        <v>3174.6463656185811</v>
      </c>
      <c r="K204" s="4">
        <f t="shared" si="21"/>
        <v>84.526654718897063</v>
      </c>
      <c r="L204" s="4">
        <f t="shared" si="22"/>
        <v>3090.1197108996839</v>
      </c>
      <c r="M204" s="4">
        <v>0</v>
      </c>
      <c r="N204" s="4">
        <f t="shared" si="23"/>
        <v>20227.578142589162</v>
      </c>
    </row>
    <row r="205" spans="8:14" x14ac:dyDescent="0.2">
      <c r="H205" s="8">
        <f t="shared" si="18"/>
        <v>51136</v>
      </c>
      <c r="I205" s="3">
        <f t="shared" si="19"/>
        <v>196</v>
      </c>
      <c r="J205" s="4">
        <f t="shared" si="20"/>
        <v>3174.6463656185811</v>
      </c>
      <c r="K205" s="4">
        <f t="shared" si="21"/>
        <v>73.324970766885713</v>
      </c>
      <c r="L205" s="4">
        <f t="shared" si="22"/>
        <v>3101.3213948516955</v>
      </c>
      <c r="M205" s="4">
        <v>0</v>
      </c>
      <c r="N205" s="4">
        <f t="shared" si="23"/>
        <v>17126.256747737465</v>
      </c>
    </row>
    <row r="206" spans="8:14" x14ac:dyDescent="0.2">
      <c r="H206" s="8">
        <f t="shared" si="18"/>
        <v>51167</v>
      </c>
      <c r="I206" s="3">
        <f t="shared" si="19"/>
        <v>197</v>
      </c>
      <c r="J206" s="4">
        <f t="shared" si="20"/>
        <v>3174.6463656185811</v>
      </c>
      <c r="K206" s="4">
        <f t="shared" si="21"/>
        <v>62.08268071054831</v>
      </c>
      <c r="L206" s="4">
        <f t="shared" si="22"/>
        <v>3112.5636849080329</v>
      </c>
      <c r="M206" s="4">
        <v>0</v>
      </c>
      <c r="N206" s="4">
        <f t="shared" si="23"/>
        <v>14013.693062829432</v>
      </c>
    </row>
    <row r="207" spans="8:14" x14ac:dyDescent="0.2">
      <c r="H207" s="8">
        <f t="shared" si="18"/>
        <v>51196</v>
      </c>
      <c r="I207" s="3">
        <f t="shared" si="19"/>
        <v>198</v>
      </c>
      <c r="J207" s="4">
        <f t="shared" si="20"/>
        <v>3174.6463656185811</v>
      </c>
      <c r="K207" s="4">
        <f t="shared" si="21"/>
        <v>50.79963735275669</v>
      </c>
      <c r="L207" s="4">
        <f t="shared" si="22"/>
        <v>3123.8467282658244</v>
      </c>
      <c r="M207" s="4">
        <v>0</v>
      </c>
      <c r="N207" s="4">
        <f t="shared" si="23"/>
        <v>10889.846334563608</v>
      </c>
    </row>
    <row r="208" spans="8:14" x14ac:dyDescent="0.2">
      <c r="H208" s="8">
        <f t="shared" si="18"/>
        <v>51227</v>
      </c>
      <c r="I208" s="3">
        <f t="shared" si="19"/>
        <v>199</v>
      </c>
      <c r="J208" s="4">
        <f t="shared" si="20"/>
        <v>3174.6463656185811</v>
      </c>
      <c r="K208" s="4">
        <f t="shared" si="21"/>
        <v>39.475692962793076</v>
      </c>
      <c r="L208" s="4">
        <f t="shared" si="22"/>
        <v>3135.1706726557882</v>
      </c>
      <c r="M208" s="4">
        <v>0</v>
      </c>
      <c r="N208" s="4">
        <f t="shared" si="23"/>
        <v>7754.6756619078205</v>
      </c>
    </row>
    <row r="209" spans="8:14" x14ac:dyDescent="0.2">
      <c r="H209" s="8">
        <f t="shared" si="18"/>
        <v>51257</v>
      </c>
      <c r="I209" s="3">
        <f t="shared" si="19"/>
        <v>200</v>
      </c>
      <c r="J209" s="4">
        <f t="shared" si="20"/>
        <v>3174.6463656185811</v>
      </c>
      <c r="K209" s="4">
        <f t="shared" si="21"/>
        <v>28.110699274415847</v>
      </c>
      <c r="L209" s="4">
        <f t="shared" si="22"/>
        <v>3146.5356663441653</v>
      </c>
      <c r="M209" s="4">
        <v>0</v>
      </c>
      <c r="N209" s="4">
        <f t="shared" si="23"/>
        <v>4608.1399955636552</v>
      </c>
    </row>
    <row r="210" spans="8:14" x14ac:dyDescent="0.2">
      <c r="H210" s="8">
        <f t="shared" si="18"/>
        <v>51288</v>
      </c>
      <c r="I210" s="3">
        <f t="shared" si="19"/>
        <v>201</v>
      </c>
      <c r="J210" s="4">
        <f t="shared" si="20"/>
        <v>3174.6463656185811</v>
      </c>
      <c r="K210" s="4">
        <f t="shared" si="21"/>
        <v>16.704507483918249</v>
      </c>
      <c r="L210" s="4">
        <f t="shared" si="22"/>
        <v>3157.9418581346627</v>
      </c>
      <c r="M210" s="4">
        <v>0</v>
      </c>
      <c r="N210" s="4">
        <f t="shared" si="23"/>
        <v>1450.1981374289926</v>
      </c>
    </row>
    <row r="211" spans="8:14" x14ac:dyDescent="0.2">
      <c r="H211" s="8">
        <f t="shared" si="18"/>
        <v>51318</v>
      </c>
      <c r="I211" s="3">
        <f t="shared" si="19"/>
        <v>202</v>
      </c>
      <c r="J211" s="4">
        <f t="shared" si="20"/>
        <v>3174.6463656185811</v>
      </c>
      <c r="K211" s="4">
        <f t="shared" si="21"/>
        <v>5.2569682481800974</v>
      </c>
      <c r="L211" s="4">
        <f t="shared" si="22"/>
        <v>3169.3893973704012</v>
      </c>
      <c r="M211" s="4">
        <v>0</v>
      </c>
      <c r="N211" s="4">
        <f t="shared" si="23"/>
        <v>-1719.1912599414086</v>
      </c>
    </row>
    <row r="212" spans="8:14" x14ac:dyDescent="0.2">
      <c r="H212" s="8">
        <f t="shared" si="18"/>
        <v>51349</v>
      </c>
      <c r="I212" s="3">
        <f t="shared" si="19"/>
        <v>203</v>
      </c>
      <c r="J212" s="4">
        <f t="shared" si="20"/>
        <v>3174.6463656185811</v>
      </c>
      <c r="K212" s="4">
        <f t="shared" si="21"/>
        <v>-6.2320683172876059</v>
      </c>
      <c r="L212" s="4">
        <f t="shared" si="22"/>
        <v>3180.8784339358685</v>
      </c>
      <c r="M212" s="4">
        <v>0</v>
      </c>
      <c r="N212" s="4">
        <f t="shared" si="23"/>
        <v>-4900.0696938772771</v>
      </c>
    </row>
    <row r="213" spans="8:14" x14ac:dyDescent="0.2">
      <c r="H213" s="8">
        <f t="shared" si="18"/>
        <v>51380</v>
      </c>
      <c r="I213" s="3">
        <f t="shared" si="19"/>
        <v>204</v>
      </c>
      <c r="J213" s="4">
        <f t="shared" si="20"/>
        <v>3174.6463656185811</v>
      </c>
      <c r="K213" s="4">
        <f t="shared" si="21"/>
        <v>-17.762752640305127</v>
      </c>
      <c r="L213" s="4">
        <f t="shared" si="22"/>
        <v>3192.4091182588863</v>
      </c>
      <c r="M213" s="4">
        <v>0</v>
      </c>
      <c r="N213" s="4">
        <f t="shared" si="23"/>
        <v>-8092.4788121361635</v>
      </c>
    </row>
    <row r="214" spans="8:14" x14ac:dyDescent="0.2">
      <c r="H214" s="8">
        <f t="shared" si="18"/>
        <v>51410</v>
      </c>
      <c r="I214" s="3">
        <f t="shared" si="19"/>
        <v>205</v>
      </c>
      <c r="J214" s="4">
        <f t="shared" si="20"/>
        <v>3174.6463656185811</v>
      </c>
      <c r="K214" s="4">
        <f t="shared" si="21"/>
        <v>-29.335235693993592</v>
      </c>
      <c r="L214" s="4">
        <f t="shared" si="22"/>
        <v>3203.9816013125746</v>
      </c>
      <c r="M214" s="4">
        <v>0</v>
      </c>
      <c r="N214" s="4">
        <f t="shared" si="23"/>
        <v>-11296.460413448738</v>
      </c>
    </row>
    <row r="215" spans="8:14" x14ac:dyDescent="0.2">
      <c r="H215" s="8">
        <f t="shared" si="18"/>
        <v>51441</v>
      </c>
      <c r="I215" s="3">
        <f t="shared" si="19"/>
        <v>206</v>
      </c>
      <c r="J215" s="4">
        <f t="shared" si="20"/>
        <v>3174.6463656185811</v>
      </c>
      <c r="K215" s="4">
        <f t="shared" si="21"/>
        <v>-40.949668998751676</v>
      </c>
      <c r="L215" s="4">
        <f t="shared" si="22"/>
        <v>3215.5960346173329</v>
      </c>
      <c r="M215" s="4">
        <v>0</v>
      </c>
      <c r="N215" s="4">
        <f t="shared" si="23"/>
        <v>-14512.056448066071</v>
      </c>
    </row>
    <row r="216" spans="8:14" x14ac:dyDescent="0.2">
      <c r="H216" s="8">
        <f t="shared" si="18"/>
        <v>51471</v>
      </c>
      <c r="I216" s="3">
        <f t="shared" si="19"/>
        <v>207</v>
      </c>
      <c r="J216" s="4">
        <f t="shared" si="20"/>
        <v>3174.6463656185811</v>
      </c>
      <c r="K216" s="4">
        <f t="shared" si="21"/>
        <v>-52.606204624239503</v>
      </c>
      <c r="L216" s="4">
        <f t="shared" si="22"/>
        <v>3227.2525702428206</v>
      </c>
      <c r="M216" s="4">
        <v>0</v>
      </c>
      <c r="N216" s="4">
        <f t="shared" si="23"/>
        <v>-17739.30901830889</v>
      </c>
    </row>
    <row r="217" spans="8:14" x14ac:dyDescent="0.2">
      <c r="H217" s="8">
        <f t="shared" si="18"/>
        <v>51502</v>
      </c>
      <c r="I217" s="3">
        <f t="shared" si="19"/>
        <v>208</v>
      </c>
      <c r="J217" s="4">
        <f t="shared" si="20"/>
        <v>3174.6463656185811</v>
      </c>
      <c r="K217" s="4">
        <f t="shared" si="21"/>
        <v>-64.304995191369727</v>
      </c>
      <c r="L217" s="4">
        <f t="shared" si="22"/>
        <v>3238.951360809951</v>
      </c>
      <c r="M217" s="4">
        <v>0</v>
      </c>
      <c r="N217" s="4">
        <f t="shared" si="23"/>
        <v>-20978.260379118841</v>
      </c>
    </row>
    <row r="218" spans="8:14" x14ac:dyDescent="0.2">
      <c r="H218" s="8">
        <f t="shared" si="18"/>
        <v>51533</v>
      </c>
      <c r="I218" s="3">
        <f t="shared" si="19"/>
        <v>209</v>
      </c>
      <c r="J218" s="4">
        <f t="shared" si="20"/>
        <v>3174.6463656185811</v>
      </c>
      <c r="K218" s="4">
        <f t="shared" si="21"/>
        <v>-76.0461938743058</v>
      </c>
      <c r="L218" s="4">
        <f t="shared" si="22"/>
        <v>3250.6925594928871</v>
      </c>
      <c r="M218" s="4">
        <v>0</v>
      </c>
      <c r="N218" s="4">
        <f t="shared" si="23"/>
        <v>-24228.952938611728</v>
      </c>
    </row>
    <row r="219" spans="8:14" x14ac:dyDescent="0.2">
      <c r="H219" s="8">
        <f t="shared" si="18"/>
        <v>51561</v>
      </c>
      <c r="I219" s="3">
        <f t="shared" si="19"/>
        <v>210</v>
      </c>
      <c r="J219" s="4">
        <f t="shared" si="20"/>
        <v>3174.6463656185811</v>
      </c>
      <c r="K219" s="4">
        <f t="shared" si="21"/>
        <v>-87.829954402467507</v>
      </c>
      <c r="L219" s="4">
        <f t="shared" si="22"/>
        <v>3262.4763200210487</v>
      </c>
      <c r="M219" s="4">
        <v>0</v>
      </c>
      <c r="N219" s="4">
        <f t="shared" si="23"/>
        <v>-27491.429258632776</v>
      </c>
    </row>
    <row r="220" spans="8:14" x14ac:dyDescent="0.2">
      <c r="H220" s="8">
        <f t="shared" si="18"/>
        <v>51592</v>
      </c>
      <c r="I220" s="3">
        <f t="shared" si="19"/>
        <v>211</v>
      </c>
      <c r="J220" s="4">
        <f t="shared" si="20"/>
        <v>3174.6463656185811</v>
      </c>
      <c r="K220" s="4">
        <f t="shared" si="21"/>
        <v>-99.656431062543803</v>
      </c>
      <c r="L220" s="4">
        <f t="shared" si="22"/>
        <v>3274.3027966811251</v>
      </c>
      <c r="M220" s="4">
        <v>0</v>
      </c>
      <c r="N220" s="4">
        <f t="shared" si="23"/>
        <v>-30765.7320553139</v>
      </c>
    </row>
    <row r="221" spans="8:14" x14ac:dyDescent="0.2">
      <c r="H221" s="8">
        <f t="shared" si="18"/>
        <v>51622</v>
      </c>
      <c r="I221" s="3">
        <f t="shared" si="19"/>
        <v>212</v>
      </c>
      <c r="J221" s="4">
        <f t="shared" si="20"/>
        <v>3174.6463656185811</v>
      </c>
      <c r="K221" s="4">
        <f t="shared" si="21"/>
        <v>-111.52577870051287</v>
      </c>
      <c r="L221" s="4">
        <f t="shared" si="22"/>
        <v>3286.1721443190941</v>
      </c>
      <c r="M221" s="4">
        <v>0</v>
      </c>
      <c r="N221" s="4">
        <f t="shared" si="23"/>
        <v>-34051.904199632991</v>
      </c>
    </row>
    <row r="222" spans="8:14" x14ac:dyDescent="0.2">
      <c r="H222" s="8">
        <f t="shared" si="18"/>
        <v>51653</v>
      </c>
      <c r="I222" s="3">
        <f t="shared" si="19"/>
        <v>213</v>
      </c>
      <c r="J222" s="4">
        <f t="shared" si="20"/>
        <v>3174.6463656185811</v>
      </c>
      <c r="K222" s="4">
        <f t="shared" si="21"/>
        <v>-123.43815272366959</v>
      </c>
      <c r="L222" s="4">
        <f t="shared" si="22"/>
        <v>3298.0845183422507</v>
      </c>
      <c r="M222" s="4">
        <v>0</v>
      </c>
      <c r="N222" s="4">
        <f t="shared" si="23"/>
        <v>-37349.98871797524</v>
      </c>
    </row>
    <row r="223" spans="8:14" x14ac:dyDescent="0.2">
      <c r="H223" s="8">
        <f t="shared" si="18"/>
        <v>51683</v>
      </c>
      <c r="I223" s="3">
        <f t="shared" si="19"/>
        <v>214</v>
      </c>
      <c r="J223" s="4">
        <f t="shared" si="20"/>
        <v>3174.6463656185811</v>
      </c>
      <c r="K223" s="4">
        <f t="shared" si="21"/>
        <v>-135.39370910266024</v>
      </c>
      <c r="L223" s="4">
        <f t="shared" si="22"/>
        <v>3310.0400747212411</v>
      </c>
      <c r="M223" s="4">
        <v>0</v>
      </c>
      <c r="N223" s="4">
        <f t="shared" si="23"/>
        <v>-40660.028792696481</v>
      </c>
    </row>
    <row r="224" spans="8:14" x14ac:dyDescent="0.2">
      <c r="H224" s="8">
        <f t="shared" si="18"/>
        <v>51714</v>
      </c>
      <c r="I224" s="3">
        <f t="shared" si="19"/>
        <v>215</v>
      </c>
      <c r="J224" s="4">
        <f t="shared" si="20"/>
        <v>3174.6463656185811</v>
      </c>
      <c r="K224" s="4">
        <f t="shared" si="21"/>
        <v>-147.39260437352473</v>
      </c>
      <c r="L224" s="4">
        <f t="shared" si="22"/>
        <v>3322.0389699921056</v>
      </c>
      <c r="M224" s="4">
        <v>0</v>
      </c>
      <c r="N224" s="4">
        <f t="shared" si="23"/>
        <v>-43982.067762688588</v>
      </c>
    </row>
    <row r="225" spans="8:14" x14ac:dyDescent="0.2">
      <c r="H225" s="8">
        <f t="shared" si="18"/>
        <v>51745</v>
      </c>
      <c r="I225" s="3">
        <f t="shared" si="19"/>
        <v>216</v>
      </c>
      <c r="J225" s="4">
        <f t="shared" si="20"/>
        <v>3174.6463656185811</v>
      </c>
      <c r="K225" s="4">
        <f t="shared" si="21"/>
        <v>-159.43499563974612</v>
      </c>
      <c r="L225" s="4">
        <f t="shared" si="22"/>
        <v>3334.081361258327</v>
      </c>
      <c r="M225" s="4">
        <v>0</v>
      </c>
      <c r="N225" s="4">
        <f t="shared" si="23"/>
        <v>-47316.149123946918</v>
      </c>
    </row>
    <row r="226" spans="8:14" x14ac:dyDescent="0.2">
      <c r="H226" s="8">
        <f t="shared" si="18"/>
        <v>51775</v>
      </c>
      <c r="I226" s="3">
        <f t="shared" si="19"/>
        <v>217</v>
      </c>
      <c r="J226" s="4">
        <f t="shared" si="20"/>
        <v>3174.6463656185811</v>
      </c>
      <c r="K226" s="4">
        <f t="shared" si="21"/>
        <v>-171.52104057430756</v>
      </c>
      <c r="L226" s="4">
        <f t="shared" si="22"/>
        <v>3346.1674061928888</v>
      </c>
      <c r="M226" s="4">
        <v>0</v>
      </c>
      <c r="N226" s="4">
        <f t="shared" si="23"/>
        <v>-50662.316530139804</v>
      </c>
    </row>
    <row r="227" spans="8:14" x14ac:dyDescent="0.2">
      <c r="H227" s="8">
        <f t="shared" si="18"/>
        <v>51806</v>
      </c>
      <c r="I227" s="3">
        <f t="shared" si="19"/>
        <v>218</v>
      </c>
      <c r="J227" s="4">
        <f t="shared" si="20"/>
        <v>3174.6463656185811</v>
      </c>
      <c r="K227" s="4">
        <f t="shared" si="21"/>
        <v>-183.65089742175678</v>
      </c>
      <c r="L227" s="4">
        <f t="shared" si="22"/>
        <v>3358.2972630403378</v>
      </c>
      <c r="M227" s="4">
        <v>0</v>
      </c>
      <c r="N227" s="4">
        <f t="shared" si="23"/>
        <v>-54020.613793180142</v>
      </c>
    </row>
    <row r="228" spans="8:14" x14ac:dyDescent="0.2">
      <c r="H228" s="8">
        <f t="shared" si="18"/>
        <v>51836</v>
      </c>
      <c r="I228" s="3">
        <f t="shared" si="19"/>
        <v>219</v>
      </c>
      <c r="J228" s="4">
        <f t="shared" si="20"/>
        <v>3174.6463656185811</v>
      </c>
      <c r="K228" s="4">
        <f t="shared" si="21"/>
        <v>-195.82472500027799</v>
      </c>
      <c r="L228" s="4">
        <f t="shared" si="22"/>
        <v>3370.4710906188589</v>
      </c>
      <c r="M228" s="4">
        <v>0</v>
      </c>
      <c r="N228" s="4">
        <f t="shared" si="23"/>
        <v>-57391.084883798998</v>
      </c>
    </row>
    <row r="229" spans="8:14" x14ac:dyDescent="0.2">
      <c r="H229" s="8">
        <f t="shared" si="18"/>
        <v>51867</v>
      </c>
      <c r="I229" s="3">
        <f t="shared" si="19"/>
        <v>220</v>
      </c>
      <c r="J229" s="4">
        <f t="shared" si="20"/>
        <v>3174.6463656185811</v>
      </c>
      <c r="K229" s="4">
        <f t="shared" si="21"/>
        <v>-208.04268270377136</v>
      </c>
      <c r="L229" s="4">
        <f t="shared" si="22"/>
        <v>3382.6890483223524</v>
      </c>
      <c r="M229" s="4">
        <v>0</v>
      </c>
      <c r="N229" s="4">
        <f t="shared" si="23"/>
        <v>-60773.773932121352</v>
      </c>
    </row>
    <row r="230" spans="8:14" x14ac:dyDescent="0.2">
      <c r="H230" s="8">
        <f t="shared" si="18"/>
        <v>51898</v>
      </c>
      <c r="I230" s="3">
        <f t="shared" si="19"/>
        <v>221</v>
      </c>
      <c r="J230" s="4">
        <f t="shared" si="20"/>
        <v>3174.6463656185811</v>
      </c>
      <c r="K230" s="4">
        <f t="shared" si="21"/>
        <v>-220.30493050393989</v>
      </c>
      <c r="L230" s="4">
        <f t="shared" si="22"/>
        <v>3394.9512961225209</v>
      </c>
      <c r="M230" s="4">
        <v>0</v>
      </c>
      <c r="N230" s="4">
        <f t="shared" si="23"/>
        <v>-64168.725228243871</v>
      </c>
    </row>
    <row r="231" spans="8:14" x14ac:dyDescent="0.2">
      <c r="H231" s="8">
        <f t="shared" si="18"/>
        <v>51926</v>
      </c>
      <c r="I231" s="3">
        <f>I230+1</f>
        <v>222</v>
      </c>
      <c r="J231" s="4">
        <f t="shared" si="20"/>
        <v>3174.6463656185811</v>
      </c>
      <c r="K231" s="4">
        <f t="shared" si="21"/>
        <v>-232.61162895238402</v>
      </c>
      <c r="L231" s="4">
        <f t="shared" si="22"/>
        <v>3407.2579945709649</v>
      </c>
      <c r="M231" s="4">
        <v>0</v>
      </c>
      <c r="N231" s="4">
        <f t="shared" si="23"/>
        <v>-67575.98322281483</v>
      </c>
    </row>
    <row r="232" spans="8:14" x14ac:dyDescent="0.2">
      <c r="H232" s="8">
        <f t="shared" si="18"/>
        <v>51957</v>
      </c>
      <c r="I232" s="3">
        <f t="shared" ref="I232:I295" si="24">I231+1</f>
        <v>223</v>
      </c>
      <c r="J232" s="4">
        <f t="shared" si="20"/>
        <v>3174.6463656185811</v>
      </c>
      <c r="K232" s="4">
        <f t="shared" si="21"/>
        <v>-244.96293918270374</v>
      </c>
      <c r="L232" s="4">
        <f t="shared" si="22"/>
        <v>3419.6093048012849</v>
      </c>
      <c r="M232" s="4">
        <v>0</v>
      </c>
      <c r="N232" s="4">
        <f t="shared" si="23"/>
        <v>-70995.592527616114</v>
      </c>
    </row>
    <row r="233" spans="8:14" x14ac:dyDescent="0.2">
      <c r="H233" s="8">
        <f t="shared" si="18"/>
        <v>51987</v>
      </c>
      <c r="I233" s="3">
        <f t="shared" si="24"/>
        <v>224</v>
      </c>
      <c r="J233" s="4">
        <f t="shared" si="20"/>
        <v>3174.6463656185811</v>
      </c>
      <c r="K233" s="4">
        <f t="shared" si="21"/>
        <v>-257.3590229126084</v>
      </c>
      <c r="L233" s="4">
        <f t="shared" si="22"/>
        <v>3432.0053885311895</v>
      </c>
      <c r="M233" s="4">
        <v>0</v>
      </c>
      <c r="N233" s="4">
        <f t="shared" si="23"/>
        <v>-74427.597916147308</v>
      </c>
    </row>
    <row r="234" spans="8:14" x14ac:dyDescent="0.2">
      <c r="H234" s="8">
        <f t="shared" si="18"/>
        <v>52018</v>
      </c>
      <c r="I234" s="3">
        <f t="shared" si="24"/>
        <v>225</v>
      </c>
      <c r="J234" s="4">
        <f t="shared" si="20"/>
        <v>3174.6463656185811</v>
      </c>
      <c r="K234" s="4">
        <f t="shared" si="21"/>
        <v>-269.80004244603396</v>
      </c>
      <c r="L234" s="4">
        <f t="shared" si="22"/>
        <v>3444.4464080646148</v>
      </c>
      <c r="M234" s="4">
        <v>0</v>
      </c>
      <c r="N234" s="4">
        <f t="shared" si="23"/>
        <v>-77872.044324211922</v>
      </c>
    </row>
    <row r="235" spans="8:14" x14ac:dyDescent="0.2">
      <c r="H235" s="8">
        <f t="shared" si="18"/>
        <v>52048</v>
      </c>
      <c r="I235" s="3">
        <f t="shared" si="24"/>
        <v>226</v>
      </c>
      <c r="J235" s="4">
        <f t="shared" si="20"/>
        <v>3174.6463656185811</v>
      </c>
      <c r="K235" s="4">
        <f t="shared" si="21"/>
        <v>-282.28616067526821</v>
      </c>
      <c r="L235" s="4">
        <f t="shared" si="22"/>
        <v>3456.9325262938492</v>
      </c>
      <c r="M235" s="4">
        <v>0</v>
      </c>
      <c r="N235" s="4">
        <f t="shared" si="23"/>
        <v>-81328.976850505773</v>
      </c>
    </row>
    <row r="236" spans="8:14" x14ac:dyDescent="0.2">
      <c r="H236" s="8">
        <f t="shared" si="18"/>
        <v>52079</v>
      </c>
      <c r="I236" s="3">
        <f t="shared" si="24"/>
        <v>227</v>
      </c>
      <c r="J236" s="4">
        <f t="shared" si="20"/>
        <v>3174.6463656185811</v>
      </c>
      <c r="K236" s="4">
        <f t="shared" si="21"/>
        <v>-294.81754108308343</v>
      </c>
      <c r="L236" s="4">
        <f t="shared" si="22"/>
        <v>3469.4639067016647</v>
      </c>
      <c r="M236" s="4">
        <v>0</v>
      </c>
      <c r="N236" s="4">
        <f t="shared" si="23"/>
        <v>-84798.440757207441</v>
      </c>
    </row>
    <row r="237" spans="8:14" x14ac:dyDescent="0.2">
      <c r="H237" s="8">
        <f t="shared" si="18"/>
        <v>52110</v>
      </c>
      <c r="I237" s="3">
        <f t="shared" si="24"/>
        <v>228</v>
      </c>
      <c r="J237" s="4">
        <f t="shared" si="20"/>
        <v>3174.6463656185811</v>
      </c>
      <c r="K237" s="4">
        <f t="shared" si="21"/>
        <v>-307.39434774487694</v>
      </c>
      <c r="L237" s="4">
        <f t="shared" si="22"/>
        <v>3482.0407133634581</v>
      </c>
      <c r="M237" s="4">
        <v>0</v>
      </c>
      <c r="N237" s="4">
        <f t="shared" si="23"/>
        <v>-88280.4814705709</v>
      </c>
    </row>
    <row r="238" spans="8:14" x14ac:dyDescent="0.2">
      <c r="H238" s="8">
        <f t="shared" si="18"/>
        <v>52140</v>
      </c>
      <c r="I238" s="3">
        <f t="shared" si="24"/>
        <v>229</v>
      </c>
      <c r="J238" s="4">
        <f t="shared" si="20"/>
        <v>3174.6463656185811</v>
      </c>
      <c r="K238" s="4">
        <f t="shared" si="21"/>
        <v>-320.0167453308195</v>
      </c>
      <c r="L238" s="4">
        <f t="shared" si="22"/>
        <v>3494.6631109494006</v>
      </c>
      <c r="M238" s="4">
        <v>0</v>
      </c>
      <c r="N238" s="4">
        <f t="shared" si="23"/>
        <v>-91775.144581520304</v>
      </c>
    </row>
    <row r="239" spans="8:14" x14ac:dyDescent="0.2">
      <c r="H239" s="8">
        <f t="shared" si="18"/>
        <v>52171</v>
      </c>
      <c r="I239" s="3">
        <f t="shared" si="24"/>
        <v>230</v>
      </c>
      <c r="J239" s="4">
        <f t="shared" si="20"/>
        <v>3174.6463656185811</v>
      </c>
      <c r="K239" s="4">
        <f t="shared" si="21"/>
        <v>-332.68489910801105</v>
      </c>
      <c r="L239" s="4">
        <f t="shared" si="22"/>
        <v>3507.3312647265921</v>
      </c>
      <c r="M239" s="4">
        <v>0</v>
      </c>
      <c r="N239" s="4">
        <f t="shared" si="23"/>
        <v>-95282.475846246904</v>
      </c>
    </row>
    <row r="240" spans="8:14" x14ac:dyDescent="0.2">
      <c r="H240" s="8">
        <f t="shared" si="18"/>
        <v>52201</v>
      </c>
      <c r="I240" s="3">
        <f t="shared" si="24"/>
        <v>231</v>
      </c>
      <c r="J240" s="4">
        <f t="shared" si="20"/>
        <v>3174.6463656185811</v>
      </c>
      <c r="K240" s="4">
        <f t="shared" si="21"/>
        <v>-345.398974942645</v>
      </c>
      <c r="L240" s="4">
        <f t="shared" si="22"/>
        <v>3520.0453405612261</v>
      </c>
      <c r="M240" s="4">
        <v>0</v>
      </c>
      <c r="N240" s="4">
        <f t="shared" si="23"/>
        <v>-98802.521186808124</v>
      </c>
    </row>
    <row r="241" spans="8:14" x14ac:dyDescent="0.2">
      <c r="H241" s="8">
        <f t="shared" si="18"/>
        <v>52232</v>
      </c>
      <c r="I241" s="3">
        <f t="shared" si="24"/>
        <v>232</v>
      </c>
      <c r="J241" s="4">
        <f t="shared" si="20"/>
        <v>3174.6463656185811</v>
      </c>
      <c r="K241" s="4">
        <f t="shared" si="21"/>
        <v>-358.15913930217943</v>
      </c>
      <c r="L241" s="4">
        <f t="shared" si="22"/>
        <v>3532.8055049207605</v>
      </c>
      <c r="M241" s="4">
        <v>0</v>
      </c>
      <c r="N241" s="4">
        <f t="shared" si="23"/>
        <v>-102335.32669172889</v>
      </c>
    </row>
    <row r="242" spans="8:14" x14ac:dyDescent="0.2">
      <c r="H242" s="8">
        <f t="shared" si="18"/>
        <v>52263</v>
      </c>
      <c r="I242" s="3">
        <f t="shared" si="24"/>
        <v>233</v>
      </c>
      <c r="J242" s="4">
        <f t="shared" si="20"/>
        <v>3174.6463656185811</v>
      </c>
      <c r="K242" s="4">
        <f t="shared" si="21"/>
        <v>-370.96555925751716</v>
      </c>
      <c r="L242" s="4">
        <f t="shared" si="22"/>
        <v>3545.6119248760983</v>
      </c>
      <c r="M242" s="4">
        <v>0</v>
      </c>
      <c r="N242" s="4">
        <f t="shared" si="23"/>
        <v>-105880.93861660498</v>
      </c>
    </row>
    <row r="243" spans="8:14" x14ac:dyDescent="0.2">
      <c r="H243" s="8">
        <f t="shared" si="18"/>
        <v>52291</v>
      </c>
      <c r="I243" s="3">
        <f t="shared" si="24"/>
        <v>234</v>
      </c>
      <c r="J243" s="4">
        <f t="shared" si="20"/>
        <v>3174.6463656185811</v>
      </c>
      <c r="K243" s="4">
        <f t="shared" si="21"/>
        <v>-383.81840248519302</v>
      </c>
      <c r="L243" s="4">
        <f t="shared" si="22"/>
        <v>3558.4647681037741</v>
      </c>
      <c r="M243" s="4">
        <v>0</v>
      </c>
      <c r="N243" s="4">
        <f t="shared" si="23"/>
        <v>-109439.40338470876</v>
      </c>
    </row>
    <row r="244" spans="8:14" x14ac:dyDescent="0.2">
      <c r="H244" s="8">
        <f t="shared" si="18"/>
        <v>52322</v>
      </c>
      <c r="I244" s="3">
        <f t="shared" si="24"/>
        <v>235</v>
      </c>
      <c r="J244" s="4">
        <f t="shared" si="20"/>
        <v>3174.6463656185811</v>
      </c>
      <c r="K244" s="4">
        <f t="shared" si="21"/>
        <v>-396.7178372695692</v>
      </c>
      <c r="L244" s="4">
        <f t="shared" si="22"/>
        <v>3571.3642028881504</v>
      </c>
      <c r="M244" s="4">
        <v>0</v>
      </c>
      <c r="N244" s="4">
        <f t="shared" si="23"/>
        <v>-113010.7675875969</v>
      </c>
    </row>
    <row r="245" spans="8:14" x14ac:dyDescent="0.2">
      <c r="H245" s="8">
        <f t="shared" si="18"/>
        <v>52352</v>
      </c>
      <c r="I245" s="3">
        <f t="shared" si="24"/>
        <v>236</v>
      </c>
      <c r="J245" s="4">
        <f t="shared" si="20"/>
        <v>3174.6463656185811</v>
      </c>
      <c r="K245" s="4">
        <f t="shared" si="21"/>
        <v>-409.66403250503873</v>
      </c>
      <c r="L245" s="4">
        <f t="shared" si="22"/>
        <v>3584.31039812362</v>
      </c>
      <c r="M245" s="4">
        <v>0</v>
      </c>
      <c r="N245" s="4">
        <f t="shared" si="23"/>
        <v>-116595.07798572052</v>
      </c>
    </row>
    <row r="246" spans="8:14" x14ac:dyDescent="0.2">
      <c r="H246" s="8">
        <f t="shared" si="18"/>
        <v>52383</v>
      </c>
      <c r="I246" s="3">
        <f t="shared" si="24"/>
        <v>237</v>
      </c>
      <c r="J246" s="4">
        <f t="shared" si="20"/>
        <v>3174.6463656185811</v>
      </c>
      <c r="K246" s="4">
        <f t="shared" si="21"/>
        <v>-422.65715769823686</v>
      </c>
      <c r="L246" s="4">
        <f t="shared" si="22"/>
        <v>3597.303523316818</v>
      </c>
      <c r="M246" s="4">
        <v>0</v>
      </c>
      <c r="N246" s="4">
        <f t="shared" si="23"/>
        <v>-120192.38150903734</v>
      </c>
    </row>
    <row r="247" spans="8:14" x14ac:dyDescent="0.2">
      <c r="H247" s="8">
        <f t="shared" si="18"/>
        <v>52413</v>
      </c>
      <c r="I247" s="3">
        <f t="shared" si="24"/>
        <v>238</v>
      </c>
      <c r="J247" s="4">
        <f t="shared" si="20"/>
        <v>3174.6463656185811</v>
      </c>
      <c r="K247" s="4">
        <f t="shared" si="21"/>
        <v>-435.69738297026032</v>
      </c>
      <c r="L247" s="4">
        <f t="shared" si="22"/>
        <v>3610.3437485888412</v>
      </c>
      <c r="M247" s="4">
        <v>0</v>
      </c>
      <c r="N247" s="4">
        <f t="shared" si="23"/>
        <v>-123802.72525762618</v>
      </c>
    </row>
    <row r="248" spans="8:14" x14ac:dyDescent="0.2">
      <c r="H248" s="8">
        <f t="shared" si="18"/>
        <v>52444</v>
      </c>
      <c r="I248" s="3">
        <f t="shared" si="24"/>
        <v>239</v>
      </c>
      <c r="J248" s="4">
        <f t="shared" si="20"/>
        <v>3174.6463656185811</v>
      </c>
      <c r="K248" s="4">
        <f t="shared" si="21"/>
        <v>-448.78487905889489</v>
      </c>
      <c r="L248" s="4">
        <f t="shared" si="22"/>
        <v>3623.4312446774761</v>
      </c>
      <c r="M248" s="4">
        <v>0</v>
      </c>
      <c r="N248" s="4">
        <f t="shared" si="23"/>
        <v>-127426.15650230365</v>
      </c>
    </row>
    <row r="249" spans="8:14" x14ac:dyDescent="0.2">
      <c r="H249" s="8">
        <f t="shared" si="18"/>
        <v>52475</v>
      </c>
      <c r="I249" s="3">
        <f t="shared" si="24"/>
        <v>240</v>
      </c>
      <c r="J249" s="4">
        <f t="shared" si="20"/>
        <v>3174.6463656185811</v>
      </c>
      <c r="K249" s="4">
        <f t="shared" si="21"/>
        <v>-461.91981732085071</v>
      </c>
      <c r="L249" s="4">
        <f t="shared" si="22"/>
        <v>3636.5661829394317</v>
      </c>
      <c r="M249" s="4">
        <v>0</v>
      </c>
      <c r="N249" s="4">
        <f t="shared" si="23"/>
        <v>-131062.72268524309</v>
      </c>
    </row>
    <row r="250" spans="8:14" x14ac:dyDescent="0.2">
      <c r="H250" s="8">
        <f t="shared" si="18"/>
        <v>52505</v>
      </c>
      <c r="I250" s="3">
        <f t="shared" si="24"/>
        <v>241</v>
      </c>
      <c r="J250" s="4">
        <f t="shared" si="20"/>
        <v>3174.6463656185811</v>
      </c>
      <c r="K250" s="4">
        <f t="shared" si="21"/>
        <v>-475.10236973400617</v>
      </c>
      <c r="L250" s="4">
        <f t="shared" si="22"/>
        <v>3649.7487353525871</v>
      </c>
      <c r="M250" s="4">
        <v>0</v>
      </c>
      <c r="N250" s="4">
        <f t="shared" si="23"/>
        <v>-134712.47142059568</v>
      </c>
    </row>
    <row r="251" spans="8:14" x14ac:dyDescent="0.2">
      <c r="H251" s="8">
        <f t="shared" si="18"/>
        <v>52536</v>
      </c>
      <c r="I251" s="3">
        <f t="shared" si="24"/>
        <v>242</v>
      </c>
      <c r="J251" s="4">
        <f t="shared" si="20"/>
        <v>3174.6463656185811</v>
      </c>
      <c r="K251" s="4">
        <f t="shared" si="21"/>
        <v>-488.33270889965934</v>
      </c>
      <c r="L251" s="4">
        <f t="shared" si="22"/>
        <v>3662.9790745182404</v>
      </c>
      <c r="M251" s="4">
        <v>0</v>
      </c>
      <c r="N251" s="4">
        <f t="shared" si="23"/>
        <v>-138375.45049511394</v>
      </c>
    </row>
    <row r="252" spans="8:14" x14ac:dyDescent="0.2">
      <c r="H252" s="8">
        <f t="shared" si="18"/>
        <v>52566</v>
      </c>
      <c r="I252" s="3">
        <f t="shared" si="24"/>
        <v>243</v>
      </c>
      <c r="J252" s="4">
        <f t="shared" si="20"/>
        <v>3174.6463656185811</v>
      </c>
      <c r="K252" s="4">
        <f t="shared" si="21"/>
        <v>-501.61100804478798</v>
      </c>
      <c r="L252" s="4">
        <f t="shared" si="22"/>
        <v>3676.257373663369</v>
      </c>
      <c r="M252" s="4">
        <v>0</v>
      </c>
      <c r="N252" s="4">
        <f t="shared" si="23"/>
        <v>-142051.7078687773</v>
      </c>
    </row>
    <row r="253" spans="8:14" x14ac:dyDescent="0.2">
      <c r="H253" s="8">
        <f t="shared" si="18"/>
        <v>52597</v>
      </c>
      <c r="I253" s="3">
        <f t="shared" si="24"/>
        <v>244</v>
      </c>
      <c r="J253" s="4">
        <f t="shared" si="20"/>
        <v>3174.6463656185811</v>
      </c>
      <c r="K253" s="4">
        <f t="shared" si="21"/>
        <v>-514.93744102431765</v>
      </c>
      <c r="L253" s="4">
        <f t="shared" si="22"/>
        <v>3689.5838066428987</v>
      </c>
      <c r="M253" s="4">
        <v>0</v>
      </c>
      <c r="N253" s="4">
        <f t="shared" si="23"/>
        <v>-145741.29167542019</v>
      </c>
    </row>
    <row r="254" spans="8:14" x14ac:dyDescent="0.2">
      <c r="H254" s="8">
        <f t="shared" si="18"/>
        <v>52628</v>
      </c>
      <c r="I254" s="3">
        <f t="shared" si="24"/>
        <v>245</v>
      </c>
      <c r="J254" s="4">
        <f t="shared" si="20"/>
        <v>3174.6463656185811</v>
      </c>
      <c r="K254" s="4">
        <f t="shared" si="21"/>
        <v>-528.31218232339813</v>
      </c>
      <c r="L254" s="4">
        <f t="shared" si="22"/>
        <v>3702.9585479419793</v>
      </c>
      <c r="M254" s="4">
        <v>0</v>
      </c>
      <c r="N254" s="4">
        <f t="shared" si="23"/>
        <v>-149444.25022336218</v>
      </c>
    </row>
    <row r="255" spans="8:14" x14ac:dyDescent="0.2">
      <c r="H255" s="8">
        <f t="shared" si="18"/>
        <v>52657</v>
      </c>
      <c r="I255" s="3">
        <f t="shared" si="24"/>
        <v>246</v>
      </c>
      <c r="J255" s="4">
        <f t="shared" si="20"/>
        <v>3174.6463656185811</v>
      </c>
      <c r="K255" s="4">
        <f t="shared" si="21"/>
        <v>-541.73540705968787</v>
      </c>
      <c r="L255" s="4">
        <f t="shared" si="22"/>
        <v>3716.381772678269</v>
      </c>
      <c r="M255" s="4">
        <v>0</v>
      </c>
      <c r="N255" s="4">
        <f t="shared" si="23"/>
        <v>-153160.63199604044</v>
      </c>
    </row>
    <row r="256" spans="8:14" x14ac:dyDescent="0.2">
      <c r="H256" s="8">
        <f t="shared" si="18"/>
        <v>52688</v>
      </c>
      <c r="I256" s="3">
        <f t="shared" si="24"/>
        <v>247</v>
      </c>
      <c r="J256" s="4">
        <f t="shared" si="20"/>
        <v>3174.6463656185811</v>
      </c>
      <c r="K256" s="4">
        <f t="shared" si="21"/>
        <v>-555.20729098564652</v>
      </c>
      <c r="L256" s="4">
        <f t="shared" si="22"/>
        <v>3729.8536566042276</v>
      </c>
      <c r="M256" s="4">
        <v>0</v>
      </c>
      <c r="N256" s="4">
        <f t="shared" si="23"/>
        <v>-156890.48565264465</v>
      </c>
    </row>
    <row r="257" spans="8:14" x14ac:dyDescent="0.2">
      <c r="H257" s="8">
        <f t="shared" si="18"/>
        <v>52718</v>
      </c>
      <c r="I257" s="3">
        <f t="shared" si="24"/>
        <v>248</v>
      </c>
      <c r="J257" s="4">
        <f t="shared" si="20"/>
        <v>3174.6463656185811</v>
      </c>
      <c r="K257" s="4">
        <f t="shared" si="21"/>
        <v>-568.72801049083682</v>
      </c>
      <c r="L257" s="4">
        <f t="shared" si="22"/>
        <v>3743.3743761094179</v>
      </c>
      <c r="M257" s="4">
        <v>0</v>
      </c>
      <c r="N257" s="4">
        <f t="shared" si="23"/>
        <v>-160633.86002875408</v>
      </c>
    </row>
    <row r="258" spans="8:14" x14ac:dyDescent="0.2">
      <c r="H258" s="8">
        <f t="shared" si="18"/>
        <v>52749</v>
      </c>
      <c r="I258" s="3">
        <f t="shared" si="24"/>
        <v>249</v>
      </c>
      <c r="J258" s="4">
        <f t="shared" si="20"/>
        <v>3174.6463656185811</v>
      </c>
      <c r="K258" s="4">
        <f t="shared" si="21"/>
        <v>-582.29774260423346</v>
      </c>
      <c r="L258" s="4">
        <f t="shared" si="22"/>
        <v>3756.9441082228145</v>
      </c>
      <c r="M258" s="4">
        <v>0</v>
      </c>
      <c r="N258" s="4">
        <f t="shared" si="23"/>
        <v>-164390.80413697689</v>
      </c>
    </row>
    <row r="259" spans="8:14" x14ac:dyDescent="0.2">
      <c r="H259" s="8">
        <f t="shared" si="18"/>
        <v>52779</v>
      </c>
      <c r="I259" s="3">
        <f t="shared" si="24"/>
        <v>250</v>
      </c>
      <c r="J259" s="4">
        <f t="shared" si="20"/>
        <v>3174.6463656185811</v>
      </c>
      <c r="K259" s="4">
        <f t="shared" si="21"/>
        <v>-595.91666499654116</v>
      </c>
      <c r="L259" s="4">
        <f t="shared" si="22"/>
        <v>3770.5630306151224</v>
      </c>
      <c r="M259" s="4">
        <v>0</v>
      </c>
      <c r="N259" s="4">
        <f t="shared" si="23"/>
        <v>-168161.36716759202</v>
      </c>
    </row>
    <row r="260" spans="8:14" x14ac:dyDescent="0.2">
      <c r="H260" s="8">
        <f t="shared" si="18"/>
        <v>52810</v>
      </c>
      <c r="I260" s="3">
        <f t="shared" si="24"/>
        <v>251</v>
      </c>
      <c r="J260" s="4">
        <f t="shared" si="20"/>
        <v>3174.6463656185811</v>
      </c>
      <c r="K260" s="4">
        <f t="shared" si="21"/>
        <v>-609.58495598252102</v>
      </c>
      <c r="L260" s="4">
        <f t="shared" si="22"/>
        <v>3784.2313216011021</v>
      </c>
      <c r="M260" s="4">
        <v>0</v>
      </c>
      <c r="N260" s="4">
        <f t="shared" si="23"/>
        <v>-171945.59848919313</v>
      </c>
    </row>
    <row r="261" spans="8:14" x14ac:dyDescent="0.2">
      <c r="H261" s="8">
        <f t="shared" si="18"/>
        <v>52841</v>
      </c>
      <c r="I261" s="3">
        <f t="shared" si="24"/>
        <v>252</v>
      </c>
      <c r="J261" s="4">
        <f t="shared" si="20"/>
        <v>3174.6463656185811</v>
      </c>
      <c r="K261" s="4">
        <f t="shared" si="21"/>
        <v>-623.30279452332502</v>
      </c>
      <c r="L261" s="4">
        <f t="shared" si="22"/>
        <v>3797.9491601419058</v>
      </c>
      <c r="M261" s="4">
        <v>0</v>
      </c>
      <c r="N261" s="4">
        <f t="shared" si="23"/>
        <v>-175743.54764933503</v>
      </c>
    </row>
    <row r="262" spans="8:14" x14ac:dyDescent="0.2">
      <c r="H262" s="8">
        <f t="shared" si="18"/>
        <v>52871</v>
      </c>
      <c r="I262" s="3">
        <f t="shared" si="24"/>
        <v>253</v>
      </c>
      <c r="J262" s="4">
        <f t="shared" si="20"/>
        <v>3174.6463656185811</v>
      </c>
      <c r="K262" s="4">
        <f t="shared" si="21"/>
        <v>-637.07036022883949</v>
      </c>
      <c r="L262" s="4">
        <f t="shared" si="22"/>
        <v>3811.7167258474205</v>
      </c>
      <c r="M262" s="4">
        <v>0</v>
      </c>
      <c r="N262" s="4">
        <f t="shared" si="23"/>
        <v>-179555.26437518245</v>
      </c>
    </row>
    <row r="263" spans="8:14" x14ac:dyDescent="0.2">
      <c r="H263" s="8">
        <f t="shared" si="18"/>
        <v>52902</v>
      </c>
      <c r="I263" s="3">
        <f t="shared" si="24"/>
        <v>254</v>
      </c>
      <c r="J263" s="4">
        <f t="shared" si="20"/>
        <v>3174.6463656185811</v>
      </c>
      <c r="K263" s="4">
        <f t="shared" si="21"/>
        <v>-650.88783336003632</v>
      </c>
      <c r="L263" s="4">
        <f t="shared" si="22"/>
        <v>3825.5341989786175</v>
      </c>
      <c r="M263" s="4">
        <v>0</v>
      </c>
      <c r="N263" s="4">
        <f t="shared" si="23"/>
        <v>-183380.79857416108</v>
      </c>
    </row>
    <row r="264" spans="8:14" x14ac:dyDescent="0.2">
      <c r="H264" s="8">
        <f t="shared" si="18"/>
        <v>52932</v>
      </c>
      <c r="I264" s="3">
        <f t="shared" si="24"/>
        <v>255</v>
      </c>
      <c r="J264" s="4">
        <f t="shared" si="20"/>
        <v>3174.6463656185811</v>
      </c>
      <c r="K264" s="4">
        <f t="shared" si="21"/>
        <v>-664.75539483133389</v>
      </c>
      <c r="L264" s="4">
        <f t="shared" si="22"/>
        <v>3839.4017604499149</v>
      </c>
      <c r="M264" s="4">
        <v>0</v>
      </c>
      <c r="N264" s="4">
        <f t="shared" si="23"/>
        <v>-187220.200334611</v>
      </c>
    </row>
    <row r="265" spans="8:14" x14ac:dyDescent="0.2">
      <c r="H265" s="8">
        <f t="shared" si="18"/>
        <v>52963</v>
      </c>
      <c r="I265" s="3">
        <f t="shared" si="24"/>
        <v>256</v>
      </c>
      <c r="J265" s="4">
        <f t="shared" si="20"/>
        <v>3174.6463656185811</v>
      </c>
      <c r="K265" s="4">
        <f t="shared" si="21"/>
        <v>-678.67322621296478</v>
      </c>
      <c r="L265" s="4">
        <f t="shared" si="22"/>
        <v>3853.3195918315459</v>
      </c>
      <c r="M265" s="4">
        <v>0</v>
      </c>
      <c r="N265" s="4">
        <f t="shared" si="23"/>
        <v>-191073.51992644253</v>
      </c>
    </row>
    <row r="266" spans="8:14" x14ac:dyDescent="0.2">
      <c r="H266" s="8">
        <f t="shared" si="18"/>
        <v>52994</v>
      </c>
      <c r="I266" s="3">
        <f t="shared" si="24"/>
        <v>257</v>
      </c>
      <c r="J266" s="4">
        <f t="shared" si="20"/>
        <v>3174.6463656185811</v>
      </c>
      <c r="K266" s="4">
        <f t="shared" si="21"/>
        <v>-692.64150973335416</v>
      </c>
      <c r="L266" s="4">
        <f t="shared" si="22"/>
        <v>3867.2878753519353</v>
      </c>
      <c r="M266" s="4">
        <v>0</v>
      </c>
      <c r="N266" s="4">
        <f t="shared" si="23"/>
        <v>-194940.80780179446</v>
      </c>
    </row>
    <row r="267" spans="8:14" x14ac:dyDescent="0.2">
      <c r="H267" s="8">
        <f t="shared" ref="H267:H330" si="25">EDATE(H266, 1)</f>
        <v>53022</v>
      </c>
      <c r="I267" s="3">
        <f t="shared" si="24"/>
        <v>258</v>
      </c>
      <c r="J267" s="4">
        <f t="shared" ref="J267:J330" si="26">$F$6</f>
        <v>3174.6463656185811</v>
      </c>
      <c r="K267" s="4">
        <f t="shared" ref="K267:K330" si="27" xml:space="preserve"> N266*$F$4</f>
        <v>-706.66042828150489</v>
      </c>
      <c r="L267" s="4">
        <f t="shared" ref="L267:L330" si="28">J267-K267</f>
        <v>3881.3067939000857</v>
      </c>
      <c r="M267" s="4">
        <v>0</v>
      </c>
      <c r="N267" s="4">
        <f t="shared" ref="N267:N330" si="29">N266-(L267+M267)</f>
        <v>-198822.11459569455</v>
      </c>
    </row>
    <row r="268" spans="8:14" x14ac:dyDescent="0.2">
      <c r="H268" s="8">
        <f t="shared" si="25"/>
        <v>53053</v>
      </c>
      <c r="I268" s="3">
        <f t="shared" si="24"/>
        <v>259</v>
      </c>
      <c r="J268" s="4">
        <f t="shared" si="26"/>
        <v>3174.6463656185811</v>
      </c>
      <c r="K268" s="4">
        <f t="shared" si="27"/>
        <v>-720.73016540939273</v>
      </c>
      <c r="L268" s="4">
        <f t="shared" si="28"/>
        <v>3895.3765310279737</v>
      </c>
      <c r="M268" s="4">
        <v>0</v>
      </c>
      <c r="N268" s="4">
        <f t="shared" si="29"/>
        <v>-202717.49112672254</v>
      </c>
    </row>
    <row r="269" spans="8:14" x14ac:dyDescent="0.2">
      <c r="H269" s="8">
        <f t="shared" si="25"/>
        <v>53083</v>
      </c>
      <c r="I269" s="3">
        <f t="shared" si="24"/>
        <v>260</v>
      </c>
      <c r="J269" s="4">
        <f t="shared" si="26"/>
        <v>3174.6463656185811</v>
      </c>
      <c r="K269" s="4">
        <f t="shared" si="27"/>
        <v>-734.85090533436914</v>
      </c>
      <c r="L269" s="4">
        <f t="shared" si="28"/>
        <v>3909.4972709529502</v>
      </c>
      <c r="M269" s="4">
        <v>0</v>
      </c>
      <c r="N269" s="4">
        <f t="shared" si="29"/>
        <v>-206626.98839767548</v>
      </c>
    </row>
    <row r="270" spans="8:14" x14ac:dyDescent="0.2">
      <c r="H270" s="8">
        <f t="shared" si="25"/>
        <v>53114</v>
      </c>
      <c r="I270" s="3">
        <f t="shared" si="24"/>
        <v>261</v>
      </c>
      <c r="J270" s="4">
        <f t="shared" si="26"/>
        <v>3174.6463656185811</v>
      </c>
      <c r="K270" s="4">
        <f t="shared" si="27"/>
        <v>-749.0228329415736</v>
      </c>
      <c r="L270" s="4">
        <f t="shared" si="28"/>
        <v>3923.6691985601547</v>
      </c>
      <c r="M270" s="4">
        <v>0</v>
      </c>
      <c r="N270" s="4">
        <f t="shared" si="29"/>
        <v>-210550.65759623563</v>
      </c>
    </row>
    <row r="271" spans="8:14" x14ac:dyDescent="0.2">
      <c r="H271" s="8">
        <f t="shared" si="25"/>
        <v>53144</v>
      </c>
      <c r="I271" s="3">
        <f t="shared" si="24"/>
        <v>262</v>
      </c>
      <c r="J271" s="4">
        <f t="shared" si="26"/>
        <v>3174.6463656185811</v>
      </c>
      <c r="K271" s="4">
        <f t="shared" si="27"/>
        <v>-763.24613378635411</v>
      </c>
      <c r="L271" s="4">
        <f t="shared" si="28"/>
        <v>3937.8924994049353</v>
      </c>
      <c r="M271" s="4">
        <v>0</v>
      </c>
      <c r="N271" s="4">
        <f t="shared" si="29"/>
        <v>-214488.55009564056</v>
      </c>
    </row>
    <row r="272" spans="8:14" x14ac:dyDescent="0.2">
      <c r="H272" s="8">
        <f t="shared" si="25"/>
        <v>53175</v>
      </c>
      <c r="I272" s="3">
        <f t="shared" si="24"/>
        <v>263</v>
      </c>
      <c r="J272" s="4">
        <f t="shared" si="26"/>
        <v>3174.6463656185811</v>
      </c>
      <c r="K272" s="4">
        <f t="shared" si="27"/>
        <v>-777.520994096697</v>
      </c>
      <c r="L272" s="4">
        <f t="shared" si="28"/>
        <v>3952.1673597152781</v>
      </c>
      <c r="M272" s="4">
        <v>0</v>
      </c>
      <c r="N272" s="4">
        <f t="shared" si="29"/>
        <v>-218440.71745535583</v>
      </c>
    </row>
    <row r="273" spans="8:14" x14ac:dyDescent="0.2">
      <c r="H273" s="8">
        <f t="shared" si="25"/>
        <v>53206</v>
      </c>
      <c r="I273" s="3">
        <f t="shared" si="24"/>
        <v>264</v>
      </c>
      <c r="J273" s="4">
        <f t="shared" si="26"/>
        <v>3174.6463656185811</v>
      </c>
      <c r="K273" s="4">
        <f t="shared" si="27"/>
        <v>-791.84760077566477</v>
      </c>
      <c r="L273" s="4">
        <f t="shared" si="28"/>
        <v>3966.4939663942459</v>
      </c>
      <c r="M273" s="4">
        <v>0</v>
      </c>
      <c r="N273" s="4">
        <f t="shared" si="29"/>
        <v>-222407.21142175008</v>
      </c>
    </row>
    <row r="274" spans="8:14" x14ac:dyDescent="0.2">
      <c r="H274" s="8">
        <f t="shared" si="25"/>
        <v>53236</v>
      </c>
      <c r="I274" s="3">
        <f t="shared" si="24"/>
        <v>265</v>
      </c>
      <c r="J274" s="4">
        <f t="shared" si="26"/>
        <v>3174.6463656185811</v>
      </c>
      <c r="K274" s="4">
        <f t="shared" si="27"/>
        <v>-806.22614140384394</v>
      </c>
      <c r="L274" s="4">
        <f t="shared" si="28"/>
        <v>3980.872507022425</v>
      </c>
      <c r="M274" s="4">
        <v>0</v>
      </c>
      <c r="N274" s="4">
        <f t="shared" si="29"/>
        <v>-226388.08392877251</v>
      </c>
    </row>
    <row r="275" spans="8:14" x14ac:dyDescent="0.2">
      <c r="H275" s="8">
        <f t="shared" si="25"/>
        <v>53267</v>
      </c>
      <c r="I275" s="3">
        <f t="shared" si="24"/>
        <v>266</v>
      </c>
      <c r="J275" s="4">
        <f t="shared" si="26"/>
        <v>3174.6463656185811</v>
      </c>
      <c r="K275" s="4">
        <f t="shared" si="27"/>
        <v>-820.65680424180027</v>
      </c>
      <c r="L275" s="4">
        <f t="shared" si="28"/>
        <v>3995.3031698603813</v>
      </c>
      <c r="M275" s="4">
        <v>0</v>
      </c>
      <c r="N275" s="4">
        <f t="shared" si="29"/>
        <v>-230383.3870986329</v>
      </c>
    </row>
    <row r="276" spans="8:14" x14ac:dyDescent="0.2">
      <c r="H276" s="8">
        <f t="shared" si="25"/>
        <v>53297</v>
      </c>
      <c r="I276" s="3">
        <f t="shared" si="24"/>
        <v>267</v>
      </c>
      <c r="J276" s="4">
        <f t="shared" si="26"/>
        <v>3174.6463656185811</v>
      </c>
      <c r="K276" s="4">
        <f t="shared" si="27"/>
        <v>-835.13977823254424</v>
      </c>
      <c r="L276" s="4">
        <f t="shared" si="28"/>
        <v>4009.7861438511254</v>
      </c>
      <c r="M276" s="4">
        <v>0</v>
      </c>
      <c r="N276" s="4">
        <f t="shared" si="29"/>
        <v>-234393.17324248402</v>
      </c>
    </row>
    <row r="277" spans="8:14" x14ac:dyDescent="0.2">
      <c r="H277" s="8">
        <f t="shared" si="25"/>
        <v>53328</v>
      </c>
      <c r="I277" s="3">
        <f t="shared" si="24"/>
        <v>268</v>
      </c>
      <c r="J277" s="4">
        <f t="shared" si="26"/>
        <v>3174.6463656185811</v>
      </c>
      <c r="K277" s="4">
        <f t="shared" si="27"/>
        <v>-849.6752530040045</v>
      </c>
      <c r="L277" s="4">
        <f t="shared" si="28"/>
        <v>4024.3216186225854</v>
      </c>
      <c r="M277" s="4">
        <v>0</v>
      </c>
      <c r="N277" s="4">
        <f t="shared" si="29"/>
        <v>-238417.49486110659</v>
      </c>
    </row>
    <row r="278" spans="8:14" x14ac:dyDescent="0.2">
      <c r="H278" s="8">
        <f t="shared" si="25"/>
        <v>53359</v>
      </c>
      <c r="I278" s="3">
        <f t="shared" si="24"/>
        <v>269</v>
      </c>
      <c r="J278" s="4">
        <f t="shared" si="26"/>
        <v>3174.6463656185811</v>
      </c>
      <c r="K278" s="4">
        <f t="shared" si="27"/>
        <v>-864.26341887151136</v>
      </c>
      <c r="L278" s="4">
        <f t="shared" si="28"/>
        <v>4038.9097844900925</v>
      </c>
      <c r="M278" s="4">
        <v>0</v>
      </c>
      <c r="N278" s="4">
        <f t="shared" si="29"/>
        <v>-242456.40464559669</v>
      </c>
    </row>
    <row r="279" spans="8:14" x14ac:dyDescent="0.2">
      <c r="H279" s="8">
        <f t="shared" si="25"/>
        <v>53387</v>
      </c>
      <c r="I279" s="3">
        <f t="shared" si="24"/>
        <v>270</v>
      </c>
      <c r="J279" s="4">
        <f t="shared" si="26"/>
        <v>3174.6463656185811</v>
      </c>
      <c r="K279" s="4">
        <f t="shared" si="27"/>
        <v>-878.90446684028791</v>
      </c>
      <c r="L279" s="4">
        <f t="shared" si="28"/>
        <v>4053.5508324588691</v>
      </c>
      <c r="M279" s="4">
        <v>0</v>
      </c>
      <c r="N279" s="4">
        <f t="shared" si="29"/>
        <v>-246509.95547805555</v>
      </c>
    </row>
    <row r="280" spans="8:14" x14ac:dyDescent="0.2">
      <c r="H280" s="8">
        <f t="shared" si="25"/>
        <v>53418</v>
      </c>
      <c r="I280" s="3">
        <f t="shared" si="24"/>
        <v>271</v>
      </c>
      <c r="J280" s="4">
        <f t="shared" si="26"/>
        <v>3174.6463656185811</v>
      </c>
      <c r="K280" s="4">
        <f t="shared" si="27"/>
        <v>-893.59858860795134</v>
      </c>
      <c r="L280" s="4">
        <f t="shared" si="28"/>
        <v>4068.2449542265322</v>
      </c>
      <c r="M280" s="4">
        <v>0</v>
      </c>
      <c r="N280" s="4">
        <f t="shared" si="29"/>
        <v>-250578.20043228209</v>
      </c>
    </row>
    <row r="281" spans="8:14" x14ac:dyDescent="0.2">
      <c r="H281" s="8">
        <f t="shared" si="25"/>
        <v>53448</v>
      </c>
      <c r="I281" s="3">
        <f t="shared" si="24"/>
        <v>272</v>
      </c>
      <c r="J281" s="4">
        <f t="shared" si="26"/>
        <v>3174.6463656185811</v>
      </c>
      <c r="K281" s="4">
        <f t="shared" si="27"/>
        <v>-908.34597656702249</v>
      </c>
      <c r="L281" s="4">
        <f t="shared" si="28"/>
        <v>4082.9923421856038</v>
      </c>
      <c r="M281" s="4">
        <v>0</v>
      </c>
      <c r="N281" s="4">
        <f t="shared" si="29"/>
        <v>-254661.19277446769</v>
      </c>
    </row>
    <row r="282" spans="8:14" x14ac:dyDescent="0.2">
      <c r="H282" s="8">
        <f t="shared" si="25"/>
        <v>53479</v>
      </c>
      <c r="I282" s="3">
        <f t="shared" si="24"/>
        <v>273</v>
      </c>
      <c r="J282" s="4">
        <f t="shared" si="26"/>
        <v>3174.6463656185811</v>
      </c>
      <c r="K282" s="4">
        <f t="shared" si="27"/>
        <v>-923.14682380744534</v>
      </c>
      <c r="L282" s="4">
        <f t="shared" si="28"/>
        <v>4097.7931894260264</v>
      </c>
      <c r="M282" s="4">
        <v>0</v>
      </c>
      <c r="N282" s="4">
        <f t="shared" si="29"/>
        <v>-258758.98596389373</v>
      </c>
    </row>
    <row r="283" spans="8:14" x14ac:dyDescent="0.2">
      <c r="H283" s="8">
        <f t="shared" si="25"/>
        <v>53509</v>
      </c>
      <c r="I283" s="3">
        <f t="shared" si="24"/>
        <v>274</v>
      </c>
      <c r="J283" s="4">
        <f t="shared" si="26"/>
        <v>3174.6463656185811</v>
      </c>
      <c r="K283" s="4">
        <f t="shared" si="27"/>
        <v>-938.00132411911477</v>
      </c>
      <c r="L283" s="4">
        <f t="shared" si="28"/>
        <v>4112.6476897376961</v>
      </c>
      <c r="M283" s="4">
        <v>0</v>
      </c>
      <c r="N283" s="4">
        <f t="shared" si="29"/>
        <v>-262871.63365363143</v>
      </c>
    </row>
    <row r="284" spans="8:14" x14ac:dyDescent="0.2">
      <c r="H284" s="8">
        <f t="shared" si="25"/>
        <v>53540</v>
      </c>
      <c r="I284" s="3">
        <f t="shared" si="24"/>
        <v>275</v>
      </c>
      <c r="J284" s="4">
        <f t="shared" si="26"/>
        <v>3174.6463656185811</v>
      </c>
      <c r="K284" s="4">
        <f t="shared" si="27"/>
        <v>-952.90967199441388</v>
      </c>
      <c r="L284" s="4">
        <f t="shared" si="28"/>
        <v>4127.5560376129952</v>
      </c>
      <c r="M284" s="4">
        <v>0</v>
      </c>
      <c r="N284" s="4">
        <f t="shared" si="29"/>
        <v>-266999.18969124445</v>
      </c>
    </row>
    <row r="285" spans="8:14" x14ac:dyDescent="0.2">
      <c r="H285" s="8">
        <f t="shared" si="25"/>
        <v>53571</v>
      </c>
      <c r="I285" s="3">
        <f t="shared" si="24"/>
        <v>276</v>
      </c>
      <c r="J285" s="4">
        <f t="shared" si="26"/>
        <v>3174.6463656185811</v>
      </c>
      <c r="K285" s="4">
        <f t="shared" si="27"/>
        <v>-967.87206263076109</v>
      </c>
      <c r="L285" s="4">
        <f t="shared" si="28"/>
        <v>4142.5184282493419</v>
      </c>
      <c r="M285" s="4">
        <v>0</v>
      </c>
      <c r="N285" s="4">
        <f t="shared" si="29"/>
        <v>-271141.70811949379</v>
      </c>
    </row>
    <row r="286" spans="8:14" x14ac:dyDescent="0.2">
      <c r="H286" s="8">
        <f t="shared" si="25"/>
        <v>53601</v>
      </c>
      <c r="I286" s="3">
        <f t="shared" si="24"/>
        <v>277</v>
      </c>
      <c r="J286" s="4">
        <f t="shared" si="26"/>
        <v>3174.6463656185811</v>
      </c>
      <c r="K286" s="4">
        <f t="shared" si="27"/>
        <v>-982.88869193316498</v>
      </c>
      <c r="L286" s="4">
        <f t="shared" si="28"/>
        <v>4157.5350575517459</v>
      </c>
      <c r="M286" s="4">
        <v>0</v>
      </c>
      <c r="N286" s="4">
        <f t="shared" si="29"/>
        <v>-275299.24317704554</v>
      </c>
    </row>
    <row r="287" spans="8:14" x14ac:dyDescent="0.2">
      <c r="H287" s="8">
        <f t="shared" si="25"/>
        <v>53632</v>
      </c>
      <c r="I287" s="3">
        <f t="shared" si="24"/>
        <v>278</v>
      </c>
      <c r="J287" s="4">
        <f t="shared" si="26"/>
        <v>3174.6463656185811</v>
      </c>
      <c r="K287" s="4">
        <f t="shared" si="27"/>
        <v>-997.95975651678998</v>
      </c>
      <c r="L287" s="4">
        <f t="shared" si="28"/>
        <v>4172.6061221353712</v>
      </c>
      <c r="M287" s="4">
        <v>0</v>
      </c>
      <c r="N287" s="4">
        <f t="shared" si="29"/>
        <v>-279471.8492991809</v>
      </c>
    </row>
    <row r="288" spans="8:14" x14ac:dyDescent="0.2">
      <c r="H288" s="8">
        <f t="shared" si="25"/>
        <v>53662</v>
      </c>
      <c r="I288" s="3">
        <f t="shared" si="24"/>
        <v>279</v>
      </c>
      <c r="J288" s="4">
        <f t="shared" si="26"/>
        <v>3174.6463656185811</v>
      </c>
      <c r="K288" s="4">
        <f t="shared" si="27"/>
        <v>-1013.0854537095307</v>
      </c>
      <c r="L288" s="4">
        <f t="shared" si="28"/>
        <v>4187.7318193281117</v>
      </c>
      <c r="M288" s="4">
        <v>0</v>
      </c>
      <c r="N288" s="4">
        <f t="shared" si="29"/>
        <v>-283659.581118509</v>
      </c>
    </row>
    <row r="289" spans="8:14" x14ac:dyDescent="0.2">
      <c r="H289" s="8">
        <f t="shared" si="25"/>
        <v>53693</v>
      </c>
      <c r="I289" s="3">
        <f t="shared" si="24"/>
        <v>280</v>
      </c>
      <c r="J289" s="4">
        <f t="shared" si="26"/>
        <v>3174.6463656185811</v>
      </c>
      <c r="K289" s="4">
        <f t="shared" si="27"/>
        <v>-1028.2659815545951</v>
      </c>
      <c r="L289" s="4">
        <f t="shared" si="28"/>
        <v>4202.9123471731764</v>
      </c>
      <c r="M289" s="4">
        <v>0</v>
      </c>
      <c r="N289" s="4">
        <f t="shared" si="29"/>
        <v>-287862.4934656822</v>
      </c>
    </row>
    <row r="290" spans="8:14" x14ac:dyDescent="0.2">
      <c r="H290" s="8">
        <f t="shared" si="25"/>
        <v>53724</v>
      </c>
      <c r="I290" s="3">
        <f t="shared" si="24"/>
        <v>281</v>
      </c>
      <c r="J290" s="4">
        <f t="shared" si="26"/>
        <v>3174.6463656185811</v>
      </c>
      <c r="K290" s="4">
        <f t="shared" si="27"/>
        <v>-1043.5015388130978</v>
      </c>
      <c r="L290" s="4">
        <f t="shared" si="28"/>
        <v>4218.1479044316784</v>
      </c>
      <c r="M290" s="4">
        <v>0</v>
      </c>
      <c r="N290" s="4">
        <f t="shared" si="29"/>
        <v>-292080.64137011388</v>
      </c>
    </row>
    <row r="291" spans="8:14" x14ac:dyDescent="0.2">
      <c r="H291" s="8">
        <f t="shared" si="25"/>
        <v>53752</v>
      </c>
      <c r="I291" s="3">
        <f t="shared" si="24"/>
        <v>282</v>
      </c>
      <c r="J291" s="4">
        <f t="shared" si="26"/>
        <v>3174.6463656185811</v>
      </c>
      <c r="K291" s="4">
        <f t="shared" si="27"/>
        <v>-1058.7923249666628</v>
      </c>
      <c r="L291" s="4">
        <f t="shared" si="28"/>
        <v>4233.4386905852443</v>
      </c>
      <c r="M291" s="4">
        <v>0</v>
      </c>
      <c r="N291" s="4">
        <f t="shared" si="29"/>
        <v>-296314.08006069914</v>
      </c>
    </row>
    <row r="292" spans="8:14" x14ac:dyDescent="0.2">
      <c r="H292" s="8">
        <f t="shared" si="25"/>
        <v>53783</v>
      </c>
      <c r="I292" s="3">
        <f t="shared" si="24"/>
        <v>283</v>
      </c>
      <c r="J292" s="4">
        <f t="shared" si="26"/>
        <v>3174.6463656185811</v>
      </c>
      <c r="K292" s="4">
        <f t="shared" si="27"/>
        <v>-1074.1385402200342</v>
      </c>
      <c r="L292" s="4">
        <f t="shared" si="28"/>
        <v>4248.7849058386155</v>
      </c>
      <c r="M292" s="4">
        <v>0</v>
      </c>
      <c r="N292" s="4">
        <f t="shared" si="29"/>
        <v>-300562.86496653775</v>
      </c>
    </row>
    <row r="293" spans="8:14" x14ac:dyDescent="0.2">
      <c r="H293" s="8">
        <f t="shared" si="25"/>
        <v>53813</v>
      </c>
      <c r="I293" s="3">
        <f t="shared" si="24"/>
        <v>284</v>
      </c>
      <c r="J293" s="4">
        <f t="shared" si="26"/>
        <v>3174.6463656185811</v>
      </c>
      <c r="K293" s="4">
        <f t="shared" si="27"/>
        <v>-1089.5403855036993</v>
      </c>
      <c r="L293" s="4">
        <f t="shared" si="28"/>
        <v>4264.1867511222808</v>
      </c>
      <c r="M293" s="4">
        <v>0</v>
      </c>
      <c r="N293" s="4">
        <f t="shared" si="29"/>
        <v>-304827.05171766004</v>
      </c>
    </row>
    <row r="294" spans="8:14" x14ac:dyDescent="0.2">
      <c r="H294" s="8">
        <f t="shared" si="25"/>
        <v>53844</v>
      </c>
      <c r="I294" s="3">
        <f t="shared" si="24"/>
        <v>285</v>
      </c>
      <c r="J294" s="4">
        <f t="shared" si="26"/>
        <v>3174.6463656185811</v>
      </c>
      <c r="K294" s="4">
        <f t="shared" si="27"/>
        <v>-1104.9980624765176</v>
      </c>
      <c r="L294" s="4">
        <f t="shared" si="28"/>
        <v>4279.6444280950982</v>
      </c>
      <c r="M294" s="4">
        <v>0</v>
      </c>
      <c r="N294" s="4">
        <f t="shared" si="29"/>
        <v>-309106.69614575512</v>
      </c>
    </row>
    <row r="295" spans="8:14" x14ac:dyDescent="0.2">
      <c r="H295" s="8">
        <f t="shared" si="25"/>
        <v>53874</v>
      </c>
      <c r="I295" s="3">
        <f t="shared" si="24"/>
        <v>286</v>
      </c>
      <c r="J295" s="4">
        <f t="shared" si="26"/>
        <v>3174.6463656185811</v>
      </c>
      <c r="K295" s="4">
        <f t="shared" si="27"/>
        <v>-1120.5117735283623</v>
      </c>
      <c r="L295" s="4">
        <f t="shared" si="28"/>
        <v>4295.1581391469435</v>
      </c>
      <c r="M295" s="4">
        <v>0</v>
      </c>
      <c r="N295" s="4">
        <f t="shared" si="29"/>
        <v>-313401.85428490205</v>
      </c>
    </row>
    <row r="296" spans="8:14" x14ac:dyDescent="0.2">
      <c r="H296" s="8">
        <f t="shared" si="25"/>
        <v>53905</v>
      </c>
      <c r="I296" s="3">
        <f t="shared" ref="I296:I334" si="30">I295+1</f>
        <v>287</v>
      </c>
      <c r="J296" s="4">
        <f t="shared" si="26"/>
        <v>3174.6463656185811</v>
      </c>
      <c r="K296" s="4">
        <f t="shared" si="27"/>
        <v>-1136.0817217827698</v>
      </c>
      <c r="L296" s="4">
        <f t="shared" si="28"/>
        <v>4310.7280874013504</v>
      </c>
      <c r="M296" s="4">
        <v>0</v>
      </c>
      <c r="N296" s="4">
        <f t="shared" si="29"/>
        <v>-317712.58237230341</v>
      </c>
    </row>
    <row r="297" spans="8:14" x14ac:dyDescent="0.2">
      <c r="H297" s="8">
        <f t="shared" si="25"/>
        <v>53936</v>
      </c>
      <c r="I297" s="3">
        <f t="shared" si="30"/>
        <v>288</v>
      </c>
      <c r="J297" s="4">
        <f t="shared" si="26"/>
        <v>3174.6463656185811</v>
      </c>
      <c r="K297" s="4">
        <f t="shared" si="27"/>
        <v>-1151.7081110995998</v>
      </c>
      <c r="L297" s="4">
        <f t="shared" si="28"/>
        <v>4326.3544767181811</v>
      </c>
      <c r="M297" s="4">
        <v>0</v>
      </c>
      <c r="N297" s="4">
        <f t="shared" si="29"/>
        <v>-322038.93684902159</v>
      </c>
    </row>
    <row r="298" spans="8:14" x14ac:dyDescent="0.2">
      <c r="H298" s="8">
        <f t="shared" si="25"/>
        <v>53966</v>
      </c>
      <c r="I298" s="3">
        <f t="shared" si="30"/>
        <v>289</v>
      </c>
      <c r="J298" s="4">
        <f t="shared" si="26"/>
        <v>3174.6463656185811</v>
      </c>
      <c r="K298" s="4">
        <f t="shared" si="27"/>
        <v>-1167.3911460777031</v>
      </c>
      <c r="L298" s="4">
        <f t="shared" si="28"/>
        <v>4342.0375116962841</v>
      </c>
      <c r="M298" s="4">
        <v>0</v>
      </c>
      <c r="N298" s="4">
        <f t="shared" si="29"/>
        <v>-326380.97436071787</v>
      </c>
    </row>
    <row r="299" spans="8:14" x14ac:dyDescent="0.2">
      <c r="H299" s="8">
        <f t="shared" si="25"/>
        <v>53997</v>
      </c>
      <c r="I299" s="3">
        <f t="shared" si="30"/>
        <v>290</v>
      </c>
      <c r="J299" s="4">
        <f t="shared" si="26"/>
        <v>3174.6463656185811</v>
      </c>
      <c r="K299" s="4">
        <f t="shared" si="27"/>
        <v>-1183.1310320576022</v>
      </c>
      <c r="L299" s="4">
        <f t="shared" si="28"/>
        <v>4357.7773976761837</v>
      </c>
      <c r="M299" s="4">
        <v>0</v>
      </c>
      <c r="N299" s="4">
        <f t="shared" si="29"/>
        <v>-330738.75175839406</v>
      </c>
    </row>
    <row r="300" spans="8:14" x14ac:dyDescent="0.2">
      <c r="H300" s="8">
        <f t="shared" si="25"/>
        <v>54027</v>
      </c>
      <c r="I300" s="3">
        <f t="shared" si="30"/>
        <v>291</v>
      </c>
      <c r="J300" s="4">
        <f t="shared" si="26"/>
        <v>3174.6463656185811</v>
      </c>
      <c r="K300" s="4">
        <f t="shared" si="27"/>
        <v>-1198.9279751241784</v>
      </c>
      <c r="L300" s="4">
        <f t="shared" si="28"/>
        <v>4373.5743407427599</v>
      </c>
      <c r="M300" s="4">
        <v>0</v>
      </c>
      <c r="N300" s="4">
        <f t="shared" si="29"/>
        <v>-335112.32609913684</v>
      </c>
    </row>
    <row r="301" spans="8:14" x14ac:dyDescent="0.2">
      <c r="H301" s="8">
        <f t="shared" si="25"/>
        <v>54058</v>
      </c>
      <c r="I301" s="3">
        <f t="shared" si="30"/>
        <v>292</v>
      </c>
      <c r="J301" s="4">
        <f t="shared" si="26"/>
        <v>3174.6463656185811</v>
      </c>
      <c r="K301" s="4">
        <f t="shared" si="27"/>
        <v>-1214.782182109371</v>
      </c>
      <c r="L301" s="4">
        <f t="shared" si="28"/>
        <v>4389.4285477279518</v>
      </c>
      <c r="M301" s="4">
        <v>0</v>
      </c>
      <c r="N301" s="4">
        <f t="shared" si="29"/>
        <v>-339501.75464686478</v>
      </c>
    </row>
    <row r="302" spans="8:14" x14ac:dyDescent="0.2">
      <c r="H302" s="8">
        <f t="shared" si="25"/>
        <v>54089</v>
      </c>
      <c r="I302" s="3">
        <f t="shared" si="30"/>
        <v>293</v>
      </c>
      <c r="J302" s="4">
        <f t="shared" si="26"/>
        <v>3174.6463656185811</v>
      </c>
      <c r="K302" s="4">
        <f t="shared" si="27"/>
        <v>-1230.6938605948847</v>
      </c>
      <c r="L302" s="4">
        <f t="shared" si="28"/>
        <v>4405.3402262134659</v>
      </c>
      <c r="M302" s="4">
        <v>0</v>
      </c>
      <c r="N302" s="4">
        <f t="shared" si="29"/>
        <v>-343907.09487307823</v>
      </c>
    </row>
    <row r="303" spans="8:14" x14ac:dyDescent="0.2">
      <c r="H303" s="8">
        <f t="shared" si="25"/>
        <v>54118</v>
      </c>
      <c r="I303" s="3">
        <f t="shared" si="30"/>
        <v>294</v>
      </c>
      <c r="J303" s="4">
        <f t="shared" si="26"/>
        <v>3174.6463656185811</v>
      </c>
      <c r="K303" s="4">
        <f t="shared" si="27"/>
        <v>-1246.6632189149084</v>
      </c>
      <c r="L303" s="4">
        <f t="shared" si="28"/>
        <v>4421.3095845334892</v>
      </c>
      <c r="M303" s="4">
        <v>0</v>
      </c>
      <c r="N303" s="4">
        <f t="shared" si="29"/>
        <v>-348328.40445761173</v>
      </c>
    </row>
    <row r="304" spans="8:14" x14ac:dyDescent="0.2">
      <c r="H304" s="8">
        <f t="shared" si="25"/>
        <v>54149</v>
      </c>
      <c r="I304" s="3">
        <f t="shared" si="30"/>
        <v>295</v>
      </c>
      <c r="J304" s="4">
        <f t="shared" si="26"/>
        <v>3174.6463656185811</v>
      </c>
      <c r="K304" s="4">
        <f t="shared" si="27"/>
        <v>-1262.6904661588424</v>
      </c>
      <c r="L304" s="4">
        <f t="shared" si="28"/>
        <v>4437.3368317774239</v>
      </c>
      <c r="M304" s="4">
        <v>0</v>
      </c>
      <c r="N304" s="4">
        <f t="shared" si="29"/>
        <v>-352765.74128938915</v>
      </c>
    </row>
    <row r="305" spans="8:14" x14ac:dyDescent="0.2">
      <c r="H305" s="8">
        <f t="shared" si="25"/>
        <v>54179</v>
      </c>
      <c r="I305" s="3">
        <f t="shared" si="30"/>
        <v>296</v>
      </c>
      <c r="J305" s="4">
        <f t="shared" si="26"/>
        <v>3174.6463656185811</v>
      </c>
      <c r="K305" s="4">
        <f t="shared" si="27"/>
        <v>-1278.7758121740355</v>
      </c>
      <c r="L305" s="4">
        <f t="shared" si="28"/>
        <v>4453.4221777926168</v>
      </c>
      <c r="M305" s="4">
        <v>0</v>
      </c>
      <c r="N305" s="4">
        <f t="shared" si="29"/>
        <v>-357219.16346718179</v>
      </c>
    </row>
    <row r="306" spans="8:14" x14ac:dyDescent="0.2">
      <c r="H306" s="8">
        <f t="shared" si="25"/>
        <v>54210</v>
      </c>
      <c r="I306" s="3">
        <f t="shared" si="30"/>
        <v>297</v>
      </c>
      <c r="J306" s="4">
        <f t="shared" si="26"/>
        <v>3174.6463656185811</v>
      </c>
      <c r="K306" s="4">
        <f t="shared" si="27"/>
        <v>-1294.9194675685339</v>
      </c>
      <c r="L306" s="4">
        <f t="shared" si="28"/>
        <v>4469.5658331871145</v>
      </c>
      <c r="M306" s="4">
        <v>0</v>
      </c>
      <c r="N306" s="4">
        <f t="shared" si="29"/>
        <v>-361688.72930036893</v>
      </c>
    </row>
    <row r="307" spans="8:14" x14ac:dyDescent="0.2">
      <c r="H307" s="8">
        <f t="shared" si="25"/>
        <v>54240</v>
      </c>
      <c r="I307" s="3">
        <f t="shared" si="30"/>
        <v>298</v>
      </c>
      <c r="J307" s="4">
        <f t="shared" si="26"/>
        <v>3174.6463656185811</v>
      </c>
      <c r="K307" s="4">
        <f t="shared" si="27"/>
        <v>-1311.1216437138373</v>
      </c>
      <c r="L307" s="4">
        <f t="shared" si="28"/>
        <v>4485.7680093324179</v>
      </c>
      <c r="M307" s="4">
        <v>0</v>
      </c>
      <c r="N307" s="4">
        <f t="shared" si="29"/>
        <v>-366174.49730970134</v>
      </c>
    </row>
    <row r="308" spans="8:14" x14ac:dyDescent="0.2">
      <c r="H308" s="8">
        <f t="shared" si="25"/>
        <v>54271</v>
      </c>
      <c r="I308" s="3">
        <f t="shared" si="30"/>
        <v>299</v>
      </c>
      <c r="J308" s="4">
        <f t="shared" si="26"/>
        <v>3174.6463656185811</v>
      </c>
      <c r="K308" s="4">
        <f t="shared" si="27"/>
        <v>-1327.3825527476672</v>
      </c>
      <c r="L308" s="4">
        <f t="shared" si="28"/>
        <v>4502.028918366248</v>
      </c>
      <c r="M308" s="4">
        <v>0</v>
      </c>
      <c r="N308" s="4">
        <f t="shared" si="29"/>
        <v>-370676.52622806758</v>
      </c>
    </row>
    <row r="309" spans="8:14" x14ac:dyDescent="0.2">
      <c r="H309" s="8">
        <f t="shared" si="25"/>
        <v>54302</v>
      </c>
      <c r="I309" s="3">
        <f t="shared" si="30"/>
        <v>300</v>
      </c>
      <c r="J309" s="4">
        <f t="shared" si="26"/>
        <v>3174.6463656185811</v>
      </c>
      <c r="K309" s="4">
        <f t="shared" si="27"/>
        <v>-1343.7024075767449</v>
      </c>
      <c r="L309" s="4">
        <f t="shared" si="28"/>
        <v>4518.3487731953264</v>
      </c>
      <c r="M309" s="4">
        <v>0</v>
      </c>
      <c r="N309" s="4">
        <f t="shared" si="29"/>
        <v>-375194.87500126293</v>
      </c>
    </row>
    <row r="310" spans="8:14" x14ac:dyDescent="0.2">
      <c r="H310" s="8">
        <f t="shared" si="25"/>
        <v>54332</v>
      </c>
      <c r="I310" s="3">
        <f t="shared" si="30"/>
        <v>301</v>
      </c>
      <c r="J310" s="4">
        <f t="shared" si="26"/>
        <v>3174.6463656185811</v>
      </c>
      <c r="K310" s="4">
        <f t="shared" si="27"/>
        <v>-1360.0814218795781</v>
      </c>
      <c r="L310" s="4">
        <f t="shared" si="28"/>
        <v>4534.7277874981592</v>
      </c>
      <c r="M310" s="4">
        <v>0</v>
      </c>
      <c r="N310" s="4">
        <f t="shared" si="29"/>
        <v>-379729.60278876108</v>
      </c>
    </row>
    <row r="311" spans="8:14" x14ac:dyDescent="0.2">
      <c r="H311" s="8">
        <f t="shared" si="25"/>
        <v>54363</v>
      </c>
      <c r="I311" s="3">
        <f t="shared" si="30"/>
        <v>302</v>
      </c>
      <c r="J311" s="4">
        <f t="shared" si="26"/>
        <v>3174.6463656185811</v>
      </c>
      <c r="K311" s="4">
        <f t="shared" si="27"/>
        <v>-1376.5198101092587</v>
      </c>
      <c r="L311" s="4">
        <f t="shared" si="28"/>
        <v>4551.1661757278398</v>
      </c>
      <c r="M311" s="4">
        <v>0</v>
      </c>
      <c r="N311" s="4">
        <f t="shared" si="29"/>
        <v>-384280.76896448893</v>
      </c>
    </row>
    <row r="312" spans="8:14" x14ac:dyDescent="0.2">
      <c r="H312" s="8">
        <f t="shared" si="25"/>
        <v>54393</v>
      </c>
      <c r="I312" s="3">
        <f t="shared" si="30"/>
        <v>303</v>
      </c>
      <c r="J312" s="4">
        <f t="shared" si="26"/>
        <v>3174.6463656185811</v>
      </c>
      <c r="K312" s="4">
        <f t="shared" si="27"/>
        <v>-1393.0177874962724</v>
      </c>
      <c r="L312" s="4">
        <f t="shared" si="28"/>
        <v>4567.6641531148534</v>
      </c>
      <c r="M312" s="4">
        <v>0</v>
      </c>
      <c r="N312" s="4">
        <f t="shared" si="29"/>
        <v>-388848.43311760377</v>
      </c>
    </row>
    <row r="313" spans="8:14" x14ac:dyDescent="0.2">
      <c r="H313" s="8">
        <f t="shared" si="25"/>
        <v>54424</v>
      </c>
      <c r="I313" s="3">
        <f t="shared" si="30"/>
        <v>304</v>
      </c>
      <c r="J313" s="4">
        <f t="shared" si="26"/>
        <v>3174.6463656185811</v>
      </c>
      <c r="K313" s="4">
        <f t="shared" si="27"/>
        <v>-1409.5755700513137</v>
      </c>
      <c r="L313" s="4">
        <f t="shared" si="28"/>
        <v>4584.2219356698952</v>
      </c>
      <c r="M313" s="4">
        <v>0</v>
      </c>
      <c r="N313" s="4">
        <f t="shared" si="29"/>
        <v>-393432.65505327366</v>
      </c>
    </row>
    <row r="314" spans="8:14" x14ac:dyDescent="0.2">
      <c r="H314" s="8">
        <f t="shared" si="25"/>
        <v>54455</v>
      </c>
      <c r="I314" s="3">
        <f t="shared" si="30"/>
        <v>305</v>
      </c>
      <c r="J314" s="4">
        <f t="shared" si="26"/>
        <v>3174.6463656185811</v>
      </c>
      <c r="K314" s="4">
        <f t="shared" si="27"/>
        <v>-1426.193374568117</v>
      </c>
      <c r="L314" s="4">
        <f t="shared" si="28"/>
        <v>4600.8397401866978</v>
      </c>
      <c r="M314" s="4">
        <v>0</v>
      </c>
      <c r="N314" s="4">
        <f t="shared" si="29"/>
        <v>-398033.49479346036</v>
      </c>
    </row>
    <row r="315" spans="8:14" x14ac:dyDescent="0.2">
      <c r="H315" s="8">
        <f t="shared" si="25"/>
        <v>54483</v>
      </c>
      <c r="I315" s="3">
        <f t="shared" si="30"/>
        <v>306</v>
      </c>
      <c r="J315" s="4">
        <f t="shared" si="26"/>
        <v>3174.6463656185811</v>
      </c>
      <c r="K315" s="4">
        <f t="shared" si="27"/>
        <v>-1442.8714186262937</v>
      </c>
      <c r="L315" s="4">
        <f t="shared" si="28"/>
        <v>4617.5177842448747</v>
      </c>
      <c r="M315" s="4">
        <v>0</v>
      </c>
      <c r="N315" s="4">
        <f t="shared" si="29"/>
        <v>-402651.0125777052</v>
      </c>
    </row>
    <row r="316" spans="8:14" x14ac:dyDescent="0.2">
      <c r="H316" s="8">
        <f t="shared" si="25"/>
        <v>54514</v>
      </c>
      <c r="I316" s="3">
        <f t="shared" si="30"/>
        <v>307</v>
      </c>
      <c r="J316" s="4">
        <f t="shared" si="26"/>
        <v>3174.6463656185811</v>
      </c>
      <c r="K316" s="4">
        <f t="shared" si="27"/>
        <v>-1459.6099205941812</v>
      </c>
      <c r="L316" s="4">
        <f t="shared" si="28"/>
        <v>4634.2562862127625</v>
      </c>
      <c r="M316" s="4">
        <v>0</v>
      </c>
      <c r="N316" s="4">
        <f t="shared" si="29"/>
        <v>-407285.26886391797</v>
      </c>
    </row>
    <row r="317" spans="8:14" x14ac:dyDescent="0.2">
      <c r="H317" s="8">
        <f t="shared" si="25"/>
        <v>54544</v>
      </c>
      <c r="I317" s="3">
        <f t="shared" si="30"/>
        <v>308</v>
      </c>
      <c r="J317" s="4">
        <f t="shared" si="26"/>
        <v>3174.6463656185811</v>
      </c>
      <c r="K317" s="4">
        <f t="shared" si="27"/>
        <v>-1476.4090996317025</v>
      </c>
      <c r="L317" s="4">
        <f t="shared" si="28"/>
        <v>4651.0554652502833</v>
      </c>
      <c r="M317" s="4">
        <v>0</v>
      </c>
      <c r="N317" s="4">
        <f t="shared" si="29"/>
        <v>-411936.32432916824</v>
      </c>
    </row>
    <row r="318" spans="8:14" x14ac:dyDescent="0.2">
      <c r="H318" s="8">
        <f t="shared" si="25"/>
        <v>54575</v>
      </c>
      <c r="I318" s="3">
        <f t="shared" si="30"/>
        <v>309</v>
      </c>
      <c r="J318" s="4">
        <f t="shared" si="26"/>
        <v>3174.6463656185811</v>
      </c>
      <c r="K318" s="4">
        <f t="shared" si="27"/>
        <v>-1493.2691756932347</v>
      </c>
      <c r="L318" s="4">
        <f t="shared" si="28"/>
        <v>4667.915541311816</v>
      </c>
      <c r="M318" s="4">
        <v>0</v>
      </c>
      <c r="N318" s="4">
        <f t="shared" si="29"/>
        <v>-416604.23987048009</v>
      </c>
    </row>
    <row r="319" spans="8:14" x14ac:dyDescent="0.2">
      <c r="H319" s="8">
        <f t="shared" si="25"/>
        <v>54605</v>
      </c>
      <c r="I319" s="3">
        <f t="shared" si="30"/>
        <v>310</v>
      </c>
      <c r="J319" s="4">
        <f t="shared" si="26"/>
        <v>3174.6463656185811</v>
      </c>
      <c r="K319" s="4">
        <f t="shared" si="27"/>
        <v>-1510.1903695304902</v>
      </c>
      <c r="L319" s="4">
        <f t="shared" si="28"/>
        <v>4684.8367351490715</v>
      </c>
      <c r="M319" s="4">
        <v>0</v>
      </c>
      <c r="N319" s="4">
        <f t="shared" si="29"/>
        <v>-421289.07660562918</v>
      </c>
    </row>
    <row r="320" spans="8:14" x14ac:dyDescent="0.2">
      <c r="H320" s="8">
        <f t="shared" si="25"/>
        <v>54636</v>
      </c>
      <c r="I320" s="3">
        <f t="shared" si="30"/>
        <v>311</v>
      </c>
      <c r="J320" s="4">
        <f t="shared" si="26"/>
        <v>3174.6463656185811</v>
      </c>
      <c r="K320" s="4">
        <f t="shared" si="27"/>
        <v>-1527.1729026954056</v>
      </c>
      <c r="L320" s="4">
        <f t="shared" si="28"/>
        <v>4701.8192683139869</v>
      </c>
      <c r="M320" s="4">
        <v>0</v>
      </c>
      <c r="N320" s="4">
        <f t="shared" si="29"/>
        <v>-425990.89587394317</v>
      </c>
    </row>
    <row r="321" spans="8:14" x14ac:dyDescent="0.2">
      <c r="H321" s="8">
        <f t="shared" si="25"/>
        <v>54667</v>
      </c>
      <c r="I321" s="3">
        <f t="shared" si="30"/>
        <v>312</v>
      </c>
      <c r="J321" s="4">
        <f t="shared" si="26"/>
        <v>3174.6463656185811</v>
      </c>
      <c r="K321" s="4">
        <f t="shared" si="27"/>
        <v>-1544.2169975430438</v>
      </c>
      <c r="L321" s="4">
        <f t="shared" si="28"/>
        <v>4718.8633631616249</v>
      </c>
      <c r="M321" s="4">
        <v>0</v>
      </c>
      <c r="N321" s="4">
        <f t="shared" si="29"/>
        <v>-430709.75923710479</v>
      </c>
    </row>
    <row r="322" spans="8:14" x14ac:dyDescent="0.2">
      <c r="H322" s="8">
        <f t="shared" si="25"/>
        <v>54697</v>
      </c>
      <c r="I322" s="3">
        <f t="shared" si="30"/>
        <v>313</v>
      </c>
      <c r="J322" s="4">
        <f t="shared" si="26"/>
        <v>3174.6463656185811</v>
      </c>
      <c r="K322" s="4">
        <f t="shared" si="27"/>
        <v>-1561.3228772345049</v>
      </c>
      <c r="L322" s="4">
        <f t="shared" si="28"/>
        <v>4735.9692428530861</v>
      </c>
      <c r="M322" s="4">
        <v>0</v>
      </c>
      <c r="N322" s="4">
        <f t="shared" si="29"/>
        <v>-435445.72847995791</v>
      </c>
    </row>
    <row r="323" spans="8:14" x14ac:dyDescent="0.2">
      <c r="H323" s="8">
        <f t="shared" si="25"/>
        <v>54728</v>
      </c>
      <c r="I323" s="3">
        <f t="shared" si="30"/>
        <v>314</v>
      </c>
      <c r="J323" s="4">
        <f t="shared" si="26"/>
        <v>3174.6463656185811</v>
      </c>
      <c r="K323" s="4">
        <f t="shared" si="27"/>
        <v>-1578.4907657398473</v>
      </c>
      <c r="L323" s="4">
        <f t="shared" si="28"/>
        <v>4753.1371313584286</v>
      </c>
      <c r="M323" s="4">
        <v>0</v>
      </c>
      <c r="N323" s="4">
        <f t="shared" si="29"/>
        <v>-440198.86561131635</v>
      </c>
    </row>
    <row r="324" spans="8:14" x14ac:dyDescent="0.2">
      <c r="H324" s="8">
        <f t="shared" si="25"/>
        <v>54758</v>
      </c>
      <c r="I324" s="3">
        <f t="shared" si="30"/>
        <v>315</v>
      </c>
      <c r="J324" s="4">
        <f t="shared" si="26"/>
        <v>3174.6463656185811</v>
      </c>
      <c r="K324" s="4">
        <f t="shared" si="27"/>
        <v>-1595.7208878410217</v>
      </c>
      <c r="L324" s="4">
        <f t="shared" si="28"/>
        <v>4770.3672534596026</v>
      </c>
      <c r="M324" s="4">
        <v>0</v>
      </c>
      <c r="N324" s="4">
        <f t="shared" si="29"/>
        <v>-444969.23286477593</v>
      </c>
    </row>
    <row r="325" spans="8:14" x14ac:dyDescent="0.2">
      <c r="H325" s="8">
        <f t="shared" si="25"/>
        <v>54789</v>
      </c>
      <c r="I325" s="3">
        <f t="shared" si="30"/>
        <v>316</v>
      </c>
      <c r="J325" s="4">
        <f t="shared" si="26"/>
        <v>3174.6463656185811</v>
      </c>
      <c r="K325" s="4">
        <f t="shared" si="27"/>
        <v>-1613.0134691348126</v>
      </c>
      <c r="L325" s="4">
        <f t="shared" si="28"/>
        <v>4787.6598347533936</v>
      </c>
      <c r="M325" s="4">
        <v>0</v>
      </c>
      <c r="N325" s="4">
        <f t="shared" si="29"/>
        <v>-449756.8926995293</v>
      </c>
    </row>
    <row r="326" spans="8:14" x14ac:dyDescent="0.2">
      <c r="H326" s="8">
        <f t="shared" si="25"/>
        <v>54820</v>
      </c>
      <c r="I326" s="3">
        <f t="shared" si="30"/>
        <v>317</v>
      </c>
      <c r="J326" s="4">
        <f t="shared" si="26"/>
        <v>3174.6463656185811</v>
      </c>
      <c r="K326" s="4">
        <f t="shared" si="27"/>
        <v>-1630.3687360357935</v>
      </c>
      <c r="L326" s="4">
        <f t="shared" si="28"/>
        <v>4805.015101654375</v>
      </c>
      <c r="M326" s="4">
        <v>0</v>
      </c>
      <c r="N326" s="4">
        <f t="shared" si="29"/>
        <v>-454561.9078011837</v>
      </c>
    </row>
    <row r="327" spans="8:14" x14ac:dyDescent="0.2">
      <c r="H327" s="8">
        <f t="shared" si="25"/>
        <v>54848</v>
      </c>
      <c r="I327" s="3">
        <f t="shared" si="30"/>
        <v>318</v>
      </c>
      <c r="J327" s="4">
        <f t="shared" si="26"/>
        <v>3174.6463656185811</v>
      </c>
      <c r="K327" s="4">
        <f t="shared" si="27"/>
        <v>-1647.7869157792909</v>
      </c>
      <c r="L327" s="4">
        <f t="shared" si="28"/>
        <v>4822.4332813978717</v>
      </c>
      <c r="M327" s="4">
        <v>0</v>
      </c>
      <c r="N327" s="4">
        <f t="shared" si="29"/>
        <v>-459384.34108258155</v>
      </c>
    </row>
    <row r="328" spans="8:14" x14ac:dyDescent="0.2">
      <c r="H328" s="8">
        <f t="shared" si="25"/>
        <v>54879</v>
      </c>
      <c r="I328" s="3">
        <f t="shared" si="30"/>
        <v>319</v>
      </c>
      <c r="J328" s="4">
        <f t="shared" si="26"/>
        <v>3174.6463656185811</v>
      </c>
      <c r="K328" s="4">
        <f t="shared" si="27"/>
        <v>-1665.2682364243581</v>
      </c>
      <c r="L328" s="4">
        <f t="shared" si="28"/>
        <v>4839.9146020429389</v>
      </c>
      <c r="M328" s="4">
        <v>0</v>
      </c>
      <c r="N328" s="4">
        <f t="shared" si="29"/>
        <v>-464224.25568462448</v>
      </c>
    </row>
    <row r="329" spans="8:14" x14ac:dyDescent="0.2">
      <c r="H329" s="8">
        <f t="shared" si="25"/>
        <v>54909</v>
      </c>
      <c r="I329" s="3">
        <f t="shared" si="30"/>
        <v>320</v>
      </c>
      <c r="J329" s="4">
        <f t="shared" si="26"/>
        <v>3174.6463656185811</v>
      </c>
      <c r="K329" s="4">
        <f t="shared" si="27"/>
        <v>-1682.8129268567636</v>
      </c>
      <c r="L329" s="4">
        <f t="shared" si="28"/>
        <v>4857.4592924753451</v>
      </c>
      <c r="M329" s="4">
        <v>0</v>
      </c>
      <c r="N329" s="4">
        <f t="shared" si="29"/>
        <v>-469081.71497709985</v>
      </c>
    </row>
    <row r="330" spans="8:14" x14ac:dyDescent="0.2">
      <c r="H330" s="8">
        <f t="shared" si="25"/>
        <v>54940</v>
      </c>
      <c r="I330" s="3">
        <f t="shared" si="30"/>
        <v>321</v>
      </c>
      <c r="J330" s="4">
        <f t="shared" si="26"/>
        <v>3174.6463656185811</v>
      </c>
      <c r="K330" s="4">
        <f t="shared" si="27"/>
        <v>-1700.4212167919868</v>
      </c>
      <c r="L330" s="4">
        <f t="shared" si="28"/>
        <v>4875.0675824105674</v>
      </c>
      <c r="M330" s="4">
        <v>0</v>
      </c>
      <c r="N330" s="4">
        <f t="shared" si="29"/>
        <v>-473956.78255951044</v>
      </c>
    </row>
    <row r="331" spans="8:14" x14ac:dyDescent="0.2">
      <c r="H331" s="8">
        <f t="shared" ref="H331:H334" si="31">EDATE(H330, 1)</f>
        <v>54970</v>
      </c>
      <c r="I331" s="3">
        <f t="shared" si="30"/>
        <v>322</v>
      </c>
      <c r="J331" s="4">
        <f t="shared" ref="J331:J334" si="32">$F$6</f>
        <v>3174.6463656185811</v>
      </c>
      <c r="K331" s="4">
        <f t="shared" ref="K331:K334" si="33" xml:space="preserve"> N330*$F$4</f>
        <v>-1718.0933367782252</v>
      </c>
      <c r="L331" s="4">
        <f t="shared" ref="L331:L334" si="34">J331-K331</f>
        <v>4892.739702396806</v>
      </c>
      <c r="M331" s="4">
        <v>0</v>
      </c>
      <c r="N331" s="4">
        <f t="shared" ref="N331:N334" si="35">N330-(L331+M331)</f>
        <v>-478849.52226190723</v>
      </c>
    </row>
    <row r="332" spans="8:14" x14ac:dyDescent="0.2">
      <c r="H332" s="8">
        <f t="shared" si="31"/>
        <v>55001</v>
      </c>
      <c r="I332" s="3">
        <f t="shared" si="30"/>
        <v>323</v>
      </c>
      <c r="J332" s="4">
        <f t="shared" si="32"/>
        <v>3174.6463656185811</v>
      </c>
      <c r="K332" s="4">
        <f t="shared" si="33"/>
        <v>-1735.8295181994135</v>
      </c>
      <c r="L332" s="4">
        <f t="shared" si="34"/>
        <v>4910.4758838179951</v>
      </c>
      <c r="M332" s="4">
        <v>0</v>
      </c>
      <c r="N332" s="4">
        <f t="shared" si="35"/>
        <v>-483759.99814572523</v>
      </c>
    </row>
    <row r="333" spans="8:14" x14ac:dyDescent="0.2">
      <c r="H333" s="8">
        <f t="shared" si="31"/>
        <v>55032</v>
      </c>
      <c r="I333" s="3">
        <f t="shared" si="30"/>
        <v>324</v>
      </c>
      <c r="J333" s="4">
        <f t="shared" si="32"/>
        <v>3174.6463656185811</v>
      </c>
      <c r="K333" s="4">
        <f t="shared" si="33"/>
        <v>-1753.6299932782538</v>
      </c>
      <c r="L333" s="4">
        <f t="shared" si="34"/>
        <v>4928.2763588968346</v>
      </c>
      <c r="M333" s="4">
        <v>0</v>
      </c>
      <c r="N333" s="4">
        <f t="shared" si="35"/>
        <v>-488688.27450462204</v>
      </c>
    </row>
    <row r="334" spans="8:14" x14ac:dyDescent="0.2">
      <c r="H334" s="8">
        <f t="shared" si="31"/>
        <v>55062</v>
      </c>
      <c r="I334" s="3">
        <f t="shared" si="30"/>
        <v>325</v>
      </c>
      <c r="J334" s="4">
        <f t="shared" si="32"/>
        <v>3174.6463656185811</v>
      </c>
      <c r="K334" s="4">
        <f t="shared" si="33"/>
        <v>-1771.4949950792547</v>
      </c>
      <c r="L334" s="4">
        <f t="shared" si="34"/>
        <v>4946.1413606978358</v>
      </c>
      <c r="M334" s="4">
        <v>0</v>
      </c>
      <c r="N334" s="4">
        <f t="shared" si="35"/>
        <v>-493634.4158653199</v>
      </c>
    </row>
    <row r="335" spans="8:14" x14ac:dyDescent="0.2">
      <c r="J335" s="4"/>
      <c r="K335" s="4"/>
      <c r="L335" s="4"/>
      <c r="M335" s="4"/>
      <c r="N335" s="4"/>
    </row>
    <row r="336" spans="8:14" x14ac:dyDescent="0.2">
      <c r="J336" s="4"/>
      <c r="K336" s="4"/>
      <c r="L336" s="4"/>
      <c r="M336" s="4"/>
      <c r="N336" s="4"/>
    </row>
    <row r="337" spans="10:14" x14ac:dyDescent="0.2">
      <c r="J337" s="4"/>
      <c r="K337" s="4"/>
      <c r="L337" s="4"/>
      <c r="M337" s="4"/>
      <c r="N337" s="4"/>
    </row>
    <row r="338" spans="10:14" x14ac:dyDescent="0.2">
      <c r="J338" s="4"/>
      <c r="K338" s="4"/>
      <c r="L338" s="4"/>
      <c r="M338" s="4"/>
      <c r="N338" s="4"/>
    </row>
    <row r="339" spans="10:14" x14ac:dyDescent="0.2">
      <c r="J339" s="4"/>
      <c r="K339" s="4"/>
      <c r="L339" s="4"/>
      <c r="M339" s="4"/>
      <c r="N339" s="4"/>
    </row>
    <row r="340" spans="10:14" x14ac:dyDescent="0.2">
      <c r="J340" s="4"/>
      <c r="K340" s="4"/>
      <c r="L340" s="4"/>
      <c r="M340" s="4"/>
      <c r="N340" s="4"/>
    </row>
    <row r="341" spans="10:14" x14ac:dyDescent="0.2">
      <c r="J341" s="4"/>
      <c r="K341" s="4"/>
      <c r="L341" s="4"/>
      <c r="M341" s="4"/>
      <c r="N341" s="4"/>
    </row>
    <row r="342" spans="10:14" x14ac:dyDescent="0.2">
      <c r="J342" s="4"/>
      <c r="K342" s="4"/>
      <c r="L342" s="4"/>
      <c r="M342" s="4"/>
      <c r="N342" s="4"/>
    </row>
    <row r="343" spans="10:14" x14ac:dyDescent="0.2">
      <c r="J343" s="4"/>
      <c r="K343" s="4"/>
      <c r="L343" s="4"/>
      <c r="M343" s="4"/>
      <c r="N343" s="4"/>
    </row>
    <row r="344" spans="10:14" x14ac:dyDescent="0.2">
      <c r="J344" s="4"/>
      <c r="K344" s="4"/>
      <c r="L344" s="4"/>
      <c r="M344" s="4"/>
      <c r="N344" s="4"/>
    </row>
    <row r="345" spans="10:14" x14ac:dyDescent="0.2">
      <c r="J345" s="4"/>
      <c r="K345" s="4"/>
      <c r="L345" s="4"/>
      <c r="M345" s="4"/>
      <c r="N345" s="4"/>
    </row>
    <row r="346" spans="10:14" x14ac:dyDescent="0.2">
      <c r="J346" s="4"/>
      <c r="K346" s="4"/>
      <c r="L346" s="4"/>
      <c r="M346" s="4"/>
      <c r="N346" s="4"/>
    </row>
    <row r="347" spans="10:14" x14ac:dyDescent="0.2">
      <c r="J347" s="4"/>
      <c r="K347" s="4"/>
      <c r="L347" s="4"/>
      <c r="M347" s="4"/>
      <c r="N347" s="4"/>
    </row>
    <row r="348" spans="10:14" x14ac:dyDescent="0.2">
      <c r="J348" s="4"/>
      <c r="K348" s="4"/>
      <c r="L348" s="4"/>
      <c r="M348" s="4"/>
      <c r="N348" s="4"/>
    </row>
    <row r="349" spans="10:14" x14ac:dyDescent="0.2">
      <c r="J349" s="4"/>
      <c r="K349" s="4"/>
      <c r="L349" s="4"/>
      <c r="M349" s="4"/>
      <c r="N349" s="4"/>
    </row>
    <row r="350" spans="10:14" x14ac:dyDescent="0.2">
      <c r="J350" s="4"/>
      <c r="K350" s="4"/>
      <c r="L350" s="4"/>
      <c r="M350" s="4"/>
      <c r="N350" s="4"/>
    </row>
    <row r="351" spans="10:14" x14ac:dyDescent="0.2">
      <c r="J351" s="4"/>
      <c r="K351" s="4"/>
      <c r="L351" s="4"/>
      <c r="M351" s="4"/>
      <c r="N351" s="4"/>
    </row>
    <row r="352" spans="10:14" x14ac:dyDescent="0.2">
      <c r="J352" s="4"/>
      <c r="K352" s="4"/>
      <c r="L352" s="4"/>
      <c r="M352" s="4"/>
      <c r="N352" s="4"/>
    </row>
    <row r="353" spans="10:14" x14ac:dyDescent="0.2">
      <c r="J353" s="4"/>
      <c r="K353" s="4"/>
      <c r="L353" s="4"/>
      <c r="M353" s="4"/>
      <c r="N353" s="4"/>
    </row>
    <row r="354" spans="10:14" x14ac:dyDescent="0.2">
      <c r="J354" s="4"/>
      <c r="K354" s="4"/>
      <c r="L354" s="4"/>
      <c r="M354" s="4"/>
      <c r="N354" s="4"/>
    </row>
    <row r="355" spans="10:14" x14ac:dyDescent="0.2">
      <c r="J355" s="4"/>
      <c r="K355" s="4"/>
      <c r="L355" s="4"/>
      <c r="M355" s="4"/>
      <c r="N355" s="4"/>
    </row>
    <row r="356" spans="10:14" x14ac:dyDescent="0.2">
      <c r="J356" s="4"/>
      <c r="K356" s="4"/>
      <c r="L356" s="4"/>
      <c r="M356" s="4"/>
      <c r="N356" s="4"/>
    </row>
    <row r="357" spans="10:14" x14ac:dyDescent="0.2">
      <c r="J357" s="4"/>
      <c r="K357" s="4"/>
      <c r="L357" s="4"/>
      <c r="M357" s="4"/>
      <c r="N357" s="4"/>
    </row>
    <row r="358" spans="10:14" x14ac:dyDescent="0.2">
      <c r="J358" s="4"/>
      <c r="K358" s="4"/>
      <c r="L358" s="4"/>
      <c r="M358" s="4"/>
      <c r="N358" s="4"/>
    </row>
    <row r="359" spans="10:14" x14ac:dyDescent="0.2">
      <c r="J359" s="4"/>
      <c r="K359" s="4"/>
      <c r="L359" s="4"/>
      <c r="M359" s="4"/>
      <c r="N359" s="4"/>
    </row>
    <row r="360" spans="10:14" x14ac:dyDescent="0.2">
      <c r="J360" s="4"/>
      <c r="K360" s="4"/>
      <c r="L360" s="4"/>
      <c r="M360" s="4"/>
      <c r="N360" s="4"/>
    </row>
    <row r="361" spans="10:14" x14ac:dyDescent="0.2">
      <c r="J361" s="4"/>
      <c r="K361" s="4"/>
      <c r="L361" s="4"/>
      <c r="M361" s="4"/>
      <c r="N361" s="4"/>
    </row>
    <row r="362" spans="10:14" x14ac:dyDescent="0.2">
      <c r="J362" s="4"/>
      <c r="K362" s="4"/>
      <c r="L362" s="4"/>
      <c r="M362" s="4"/>
      <c r="N362" s="4"/>
    </row>
    <row r="363" spans="10:14" x14ac:dyDescent="0.2">
      <c r="J363" s="4"/>
      <c r="K363" s="4"/>
      <c r="L363" s="4"/>
      <c r="M363" s="4"/>
      <c r="N363" s="4"/>
    </row>
    <row r="364" spans="10:14" x14ac:dyDescent="0.2">
      <c r="J364" s="4"/>
      <c r="K364" s="4"/>
      <c r="L364" s="4"/>
      <c r="M364" s="4"/>
      <c r="N364" s="4"/>
    </row>
    <row r="365" spans="10:14" x14ac:dyDescent="0.2">
      <c r="J365" s="4"/>
      <c r="K365" s="4"/>
      <c r="L365" s="4"/>
      <c r="M365" s="4"/>
      <c r="N365" s="4"/>
    </row>
    <row r="366" spans="10:14" x14ac:dyDescent="0.2">
      <c r="J366" s="4"/>
      <c r="K366" s="4"/>
      <c r="L366" s="4"/>
      <c r="M366" s="4"/>
      <c r="N366" s="4"/>
    </row>
    <row r="367" spans="10:14" x14ac:dyDescent="0.2">
      <c r="J367" s="4"/>
      <c r="K367" s="4"/>
      <c r="L367" s="4"/>
      <c r="M367" s="4"/>
      <c r="N367" s="4"/>
    </row>
    <row r="368" spans="10:14" x14ac:dyDescent="0.2">
      <c r="J368" s="4"/>
      <c r="K368" s="4"/>
      <c r="L368" s="4"/>
      <c r="M368" s="4"/>
      <c r="N368" s="4"/>
    </row>
    <row r="369" spans="10:14" x14ac:dyDescent="0.2">
      <c r="J369" s="4"/>
      <c r="K369" s="4"/>
      <c r="L369" s="4"/>
      <c r="M369" s="4"/>
      <c r="N369" s="4"/>
    </row>
    <row r="370" spans="10:14" x14ac:dyDescent="0.2">
      <c r="J370" s="4"/>
      <c r="K370" s="4"/>
      <c r="L370" s="4"/>
      <c r="M370" s="4"/>
      <c r="N370" s="4"/>
    </row>
    <row r="371" spans="10:14" x14ac:dyDescent="0.2">
      <c r="J371" s="4"/>
      <c r="K371" s="4"/>
      <c r="L371" s="4"/>
      <c r="M371" s="4"/>
      <c r="N371" s="4"/>
    </row>
    <row r="372" spans="10:14" x14ac:dyDescent="0.2">
      <c r="J372" s="4"/>
      <c r="K372" s="4"/>
      <c r="L372" s="4"/>
      <c r="M372" s="4"/>
      <c r="N372" s="4"/>
    </row>
    <row r="373" spans="10:14" x14ac:dyDescent="0.2">
      <c r="J373" s="4"/>
      <c r="K373" s="4"/>
      <c r="L373" s="4"/>
      <c r="M373" s="4"/>
      <c r="N373" s="4"/>
    </row>
    <row r="374" spans="10:14" x14ac:dyDescent="0.2">
      <c r="J374" s="4"/>
      <c r="K374" s="4"/>
      <c r="L374" s="4"/>
      <c r="M374" s="4"/>
      <c r="N374" s="4"/>
    </row>
    <row r="375" spans="10:14" x14ac:dyDescent="0.2">
      <c r="J375" s="4"/>
      <c r="K375" s="4"/>
      <c r="L375" s="4"/>
      <c r="M375" s="4"/>
      <c r="N375" s="4"/>
    </row>
    <row r="376" spans="10:14" x14ac:dyDescent="0.2">
      <c r="J376" s="4"/>
      <c r="K376" s="4"/>
      <c r="L376" s="4"/>
      <c r="M376" s="4"/>
      <c r="N376" s="4"/>
    </row>
    <row r="377" spans="10:14" x14ac:dyDescent="0.2">
      <c r="J377" s="4"/>
      <c r="K377" s="4"/>
      <c r="L377" s="4"/>
      <c r="M377" s="4"/>
      <c r="N377" s="4"/>
    </row>
    <row r="378" spans="10:14" x14ac:dyDescent="0.2">
      <c r="J378" s="4"/>
      <c r="K378" s="4"/>
      <c r="L378" s="4"/>
      <c r="M378" s="4"/>
      <c r="N378" s="4"/>
    </row>
    <row r="379" spans="10:14" x14ac:dyDescent="0.2">
      <c r="J379" s="4"/>
      <c r="K379" s="4"/>
      <c r="L379" s="4"/>
      <c r="M379" s="4"/>
      <c r="N379" s="4"/>
    </row>
    <row r="380" spans="10:14" x14ac:dyDescent="0.2">
      <c r="J380" s="4"/>
      <c r="K380" s="4"/>
      <c r="L380" s="4"/>
      <c r="M380" s="4"/>
      <c r="N380" s="4"/>
    </row>
    <row r="381" spans="10:14" x14ac:dyDescent="0.2">
      <c r="J381" s="4"/>
      <c r="K381" s="4"/>
      <c r="L381" s="4"/>
      <c r="M381" s="4"/>
      <c r="N381" s="4"/>
    </row>
    <row r="382" spans="10:14" x14ac:dyDescent="0.2">
      <c r="J382" s="4"/>
      <c r="K382" s="4"/>
      <c r="L382" s="4"/>
      <c r="M382" s="4"/>
      <c r="N382" s="4"/>
    </row>
    <row r="383" spans="10:14" x14ac:dyDescent="0.2">
      <c r="J383" s="4"/>
      <c r="K383" s="4"/>
      <c r="L383" s="4"/>
      <c r="M383" s="4"/>
      <c r="N383" s="4"/>
    </row>
    <row r="384" spans="10:14" x14ac:dyDescent="0.2">
      <c r="J384" s="4"/>
      <c r="K384" s="4"/>
      <c r="L384" s="4"/>
      <c r="M384" s="4"/>
      <c r="N384" s="4"/>
    </row>
    <row r="385" spans="10:14" x14ac:dyDescent="0.2">
      <c r="J385" s="4"/>
      <c r="K385" s="4"/>
      <c r="L385" s="4"/>
      <c r="M385" s="4"/>
      <c r="N385" s="4"/>
    </row>
    <row r="386" spans="10:14" x14ac:dyDescent="0.2">
      <c r="J386" s="4"/>
      <c r="K386" s="4"/>
      <c r="L386" s="4"/>
      <c r="M386" s="4"/>
      <c r="N386" s="4"/>
    </row>
    <row r="387" spans="10:14" x14ac:dyDescent="0.2">
      <c r="J387" s="4"/>
      <c r="K387" s="4"/>
      <c r="L387" s="4"/>
      <c r="M387" s="4"/>
      <c r="N387" s="4"/>
    </row>
    <row r="388" spans="10:14" x14ac:dyDescent="0.2">
      <c r="J388" s="4"/>
      <c r="K388" s="4"/>
      <c r="L388" s="4"/>
      <c r="M388" s="4"/>
      <c r="N388" s="4"/>
    </row>
    <row r="389" spans="10:14" x14ac:dyDescent="0.2">
      <c r="J389" s="4"/>
      <c r="K389" s="4"/>
      <c r="L389" s="4"/>
      <c r="M389" s="4"/>
      <c r="N389" s="4"/>
    </row>
    <row r="390" spans="10:14" x14ac:dyDescent="0.2">
      <c r="J390" s="4"/>
      <c r="K390" s="4"/>
      <c r="L390" s="4"/>
      <c r="M390" s="4"/>
      <c r="N390" s="4"/>
    </row>
    <row r="391" spans="10:14" x14ac:dyDescent="0.2">
      <c r="J391" s="4"/>
      <c r="K391" s="4"/>
      <c r="L391" s="4"/>
      <c r="M391" s="4"/>
      <c r="N391" s="4"/>
    </row>
    <row r="392" spans="10:14" x14ac:dyDescent="0.2">
      <c r="J392" s="4"/>
      <c r="K392" s="4"/>
      <c r="L392" s="4"/>
      <c r="M392" s="4"/>
      <c r="N392" s="4"/>
    </row>
    <row r="393" spans="10:14" x14ac:dyDescent="0.2">
      <c r="J393" s="4"/>
      <c r="K393" s="4"/>
      <c r="L393" s="4"/>
      <c r="M393" s="4"/>
      <c r="N393" s="4"/>
    </row>
    <row r="394" spans="10:14" x14ac:dyDescent="0.2">
      <c r="J394" s="4"/>
      <c r="K394" s="4"/>
      <c r="L394" s="4"/>
      <c r="M394" s="4"/>
      <c r="N394" s="4"/>
    </row>
    <row r="395" spans="10:14" x14ac:dyDescent="0.2">
      <c r="J395" s="4"/>
      <c r="K395" s="4"/>
      <c r="L395" s="4"/>
      <c r="M395" s="4"/>
      <c r="N395" s="4"/>
    </row>
    <row r="396" spans="10:14" x14ac:dyDescent="0.2">
      <c r="J396" s="4"/>
      <c r="K396" s="4"/>
      <c r="L396" s="4"/>
      <c r="M396" s="4"/>
      <c r="N396" s="4"/>
    </row>
    <row r="397" spans="10:14" x14ac:dyDescent="0.2">
      <c r="J397" s="4"/>
      <c r="K397" s="4"/>
      <c r="L397" s="4"/>
      <c r="M397" s="4"/>
      <c r="N397" s="4"/>
    </row>
    <row r="398" spans="10:14" x14ac:dyDescent="0.2">
      <c r="J398" s="4"/>
      <c r="K398" s="4"/>
      <c r="L398" s="4"/>
      <c r="M398" s="4"/>
      <c r="N398" s="4"/>
    </row>
    <row r="399" spans="10:14" x14ac:dyDescent="0.2">
      <c r="J399" s="4"/>
      <c r="K399" s="4"/>
      <c r="L399" s="4"/>
      <c r="M399" s="4"/>
      <c r="N399" s="4"/>
    </row>
    <row r="400" spans="10:14" x14ac:dyDescent="0.2">
      <c r="J400" s="4"/>
      <c r="K400" s="4"/>
      <c r="L400" s="4"/>
      <c r="M400" s="4"/>
      <c r="N400" s="4"/>
    </row>
    <row r="401" spans="10:14" x14ac:dyDescent="0.2">
      <c r="J401" s="4"/>
      <c r="K401" s="4"/>
      <c r="L401" s="4"/>
      <c r="M401" s="4"/>
      <c r="N401" s="4"/>
    </row>
    <row r="402" spans="10:14" x14ac:dyDescent="0.2">
      <c r="J402" s="4"/>
      <c r="K402" s="4"/>
      <c r="L402" s="4"/>
      <c r="M402" s="4"/>
      <c r="N402" s="4"/>
    </row>
    <row r="403" spans="10:14" x14ac:dyDescent="0.2">
      <c r="J403" s="4"/>
      <c r="K403" s="4"/>
      <c r="L403" s="4"/>
      <c r="M403" s="4"/>
      <c r="N403" s="4"/>
    </row>
    <row r="404" spans="10:14" x14ac:dyDescent="0.2">
      <c r="J404" s="4"/>
      <c r="K404" s="4"/>
      <c r="L404" s="4"/>
      <c r="M404" s="4"/>
      <c r="N404" s="4"/>
    </row>
    <row r="405" spans="10:14" x14ac:dyDescent="0.2">
      <c r="J405" s="4"/>
      <c r="K405" s="4"/>
      <c r="L405" s="4"/>
      <c r="M405" s="4"/>
      <c r="N405" s="4"/>
    </row>
    <row r="406" spans="10:14" x14ac:dyDescent="0.2">
      <c r="J406" s="4"/>
      <c r="K406" s="4"/>
      <c r="L406" s="4"/>
      <c r="M406" s="4"/>
      <c r="N406" s="4"/>
    </row>
    <row r="407" spans="10:14" x14ac:dyDescent="0.2">
      <c r="J407" s="4"/>
      <c r="K407" s="4"/>
      <c r="L407" s="4"/>
      <c r="M407" s="4"/>
      <c r="N407" s="4"/>
    </row>
    <row r="408" spans="10:14" x14ac:dyDescent="0.2">
      <c r="J408" s="4"/>
      <c r="K408" s="4"/>
      <c r="L408" s="4"/>
      <c r="M408" s="4"/>
      <c r="N408" s="4"/>
    </row>
    <row r="409" spans="10:14" x14ac:dyDescent="0.2">
      <c r="J409" s="4"/>
      <c r="K409" s="4"/>
      <c r="L409" s="4"/>
      <c r="M409" s="4"/>
      <c r="N409" s="4"/>
    </row>
    <row r="410" spans="10:14" x14ac:dyDescent="0.2">
      <c r="J410" s="4"/>
      <c r="K410" s="4"/>
      <c r="L410" s="4"/>
      <c r="M410" s="4"/>
      <c r="N410" s="4"/>
    </row>
    <row r="411" spans="10:14" x14ac:dyDescent="0.2">
      <c r="J411" s="4"/>
      <c r="K411" s="4"/>
      <c r="L411" s="4"/>
      <c r="M411" s="4"/>
      <c r="N411" s="4"/>
    </row>
    <row r="412" spans="10:14" x14ac:dyDescent="0.2">
      <c r="J412" s="4"/>
      <c r="K412" s="4"/>
      <c r="L412" s="4"/>
      <c r="M412" s="4"/>
      <c r="N412" s="4"/>
    </row>
    <row r="413" spans="10:14" x14ac:dyDescent="0.2">
      <c r="J413" s="4"/>
      <c r="K413" s="4"/>
      <c r="L413" s="4"/>
      <c r="M413" s="4"/>
      <c r="N413" s="4"/>
    </row>
    <row r="414" spans="10:14" x14ac:dyDescent="0.2">
      <c r="J414" s="4"/>
      <c r="K414" s="4"/>
      <c r="L414" s="4"/>
      <c r="M414" s="4"/>
      <c r="N414" s="4"/>
    </row>
    <row r="415" spans="10:14" x14ac:dyDescent="0.2">
      <c r="J415" s="4"/>
      <c r="K415" s="4"/>
      <c r="L415" s="4"/>
      <c r="M415" s="4"/>
      <c r="N415" s="4"/>
    </row>
    <row r="416" spans="10:14" x14ac:dyDescent="0.2">
      <c r="J416" s="4"/>
      <c r="K416" s="4"/>
      <c r="L416" s="4"/>
      <c r="M416" s="4"/>
      <c r="N416" s="4"/>
    </row>
    <row r="417" spans="10:14" x14ac:dyDescent="0.2">
      <c r="J417" s="4"/>
      <c r="K417" s="4"/>
      <c r="L417" s="4"/>
      <c r="M417" s="4"/>
      <c r="N417" s="4"/>
    </row>
    <row r="418" spans="10:14" x14ac:dyDescent="0.2">
      <c r="J418" s="4"/>
      <c r="K418" s="4"/>
      <c r="L418" s="4"/>
      <c r="M418" s="4"/>
      <c r="N418" s="4"/>
    </row>
    <row r="419" spans="10:14" x14ac:dyDescent="0.2">
      <c r="J419" s="4"/>
      <c r="K419" s="4"/>
      <c r="L419" s="4"/>
      <c r="M419" s="4"/>
      <c r="N419" s="4"/>
    </row>
    <row r="420" spans="10:14" x14ac:dyDescent="0.2">
      <c r="J420" s="4"/>
      <c r="K420" s="4"/>
      <c r="L420" s="4"/>
      <c r="M420" s="4"/>
      <c r="N420" s="4"/>
    </row>
    <row r="421" spans="10:14" x14ac:dyDescent="0.2">
      <c r="J421" s="4"/>
      <c r="K421" s="4"/>
      <c r="L421" s="4"/>
      <c r="M421" s="4"/>
      <c r="N421" s="4"/>
    </row>
    <row r="422" spans="10:14" x14ac:dyDescent="0.2">
      <c r="J422" s="4"/>
      <c r="K422" s="4"/>
      <c r="L422" s="4"/>
      <c r="M422" s="4"/>
      <c r="N422" s="4"/>
    </row>
    <row r="423" spans="10:14" x14ac:dyDescent="0.2">
      <c r="J423" s="4"/>
      <c r="K423" s="4"/>
      <c r="L423" s="4"/>
      <c r="M423" s="4"/>
      <c r="N423" s="4"/>
    </row>
    <row r="424" spans="10:14" x14ac:dyDescent="0.2">
      <c r="J424" s="4"/>
      <c r="K424" s="4"/>
      <c r="L424" s="4"/>
      <c r="M424" s="4"/>
      <c r="N424" s="4"/>
    </row>
    <row r="425" spans="10:14" x14ac:dyDescent="0.2">
      <c r="J425" s="4"/>
      <c r="K425" s="4"/>
      <c r="L425" s="4"/>
      <c r="M425" s="4"/>
      <c r="N425" s="4"/>
    </row>
    <row r="426" spans="10:14" x14ac:dyDescent="0.2">
      <c r="J426" s="4"/>
      <c r="K426" s="4"/>
      <c r="L426" s="4"/>
      <c r="M426" s="4"/>
      <c r="N426" s="4"/>
    </row>
    <row r="427" spans="10:14" x14ac:dyDescent="0.2">
      <c r="J427" s="4"/>
      <c r="K427" s="4"/>
      <c r="L427" s="4"/>
      <c r="M427" s="4"/>
      <c r="N427" s="4"/>
    </row>
    <row r="428" spans="10:14" x14ac:dyDescent="0.2">
      <c r="J428" s="4"/>
      <c r="K428" s="4"/>
      <c r="L428" s="4"/>
      <c r="M428" s="4"/>
      <c r="N428" s="4"/>
    </row>
    <row r="429" spans="10:14" x14ac:dyDescent="0.2">
      <c r="J429" s="4"/>
      <c r="K429" s="4"/>
      <c r="L429" s="4"/>
      <c r="M429" s="4"/>
      <c r="N429" s="4"/>
    </row>
    <row r="430" spans="10:14" x14ac:dyDescent="0.2">
      <c r="J430" s="4"/>
      <c r="K430" s="4"/>
      <c r="L430" s="4"/>
      <c r="M430" s="4"/>
      <c r="N430" s="4"/>
    </row>
    <row r="431" spans="10:14" x14ac:dyDescent="0.2">
      <c r="J431" s="4"/>
      <c r="K431" s="4"/>
      <c r="L431" s="4"/>
      <c r="M431" s="4"/>
      <c r="N431" s="4"/>
    </row>
    <row r="432" spans="10:14" x14ac:dyDescent="0.2">
      <c r="J432" s="4"/>
      <c r="K432" s="4"/>
      <c r="L432" s="4"/>
      <c r="M432" s="4"/>
      <c r="N432" s="4"/>
    </row>
    <row r="433" spans="10:14" x14ac:dyDescent="0.2">
      <c r="J433" s="4"/>
      <c r="K433" s="4"/>
      <c r="L433" s="4"/>
      <c r="M433" s="4"/>
      <c r="N433" s="4"/>
    </row>
    <row r="434" spans="10:14" x14ac:dyDescent="0.2">
      <c r="J434" s="4"/>
      <c r="K434" s="4"/>
      <c r="L434" s="4"/>
      <c r="M434" s="4"/>
      <c r="N434" s="4"/>
    </row>
    <row r="435" spans="10:14" x14ac:dyDescent="0.2">
      <c r="J435" s="4"/>
      <c r="K435" s="4"/>
      <c r="L435" s="4"/>
      <c r="M435" s="4"/>
      <c r="N435" s="4"/>
    </row>
    <row r="436" spans="10:14" x14ac:dyDescent="0.2">
      <c r="J436" s="4"/>
      <c r="K436" s="4"/>
      <c r="L436" s="4"/>
      <c r="M436" s="4"/>
      <c r="N436" s="4"/>
    </row>
    <row r="437" spans="10:14" x14ac:dyDescent="0.2">
      <c r="J437" s="4"/>
      <c r="K437" s="4"/>
      <c r="L437" s="4"/>
      <c r="M437" s="4"/>
      <c r="N437" s="4"/>
    </row>
    <row r="438" spans="10:14" x14ac:dyDescent="0.2">
      <c r="J438" s="4"/>
      <c r="K438" s="4"/>
      <c r="L438" s="4"/>
      <c r="M438" s="4"/>
      <c r="N438" s="4"/>
    </row>
    <row r="439" spans="10:14" x14ac:dyDescent="0.2">
      <c r="J439" s="4"/>
      <c r="K439" s="4"/>
      <c r="L439" s="4"/>
      <c r="M439" s="4"/>
      <c r="N439" s="4"/>
    </row>
    <row r="440" spans="10:14" x14ac:dyDescent="0.2">
      <c r="J440" s="4"/>
      <c r="K440" s="4"/>
      <c r="L440" s="4"/>
      <c r="M440" s="4"/>
      <c r="N440" s="4"/>
    </row>
    <row r="441" spans="10:14" x14ac:dyDescent="0.2">
      <c r="J441" s="4"/>
      <c r="K441" s="4"/>
      <c r="L441" s="4"/>
      <c r="M441" s="4"/>
      <c r="N441" s="4"/>
    </row>
    <row r="442" spans="10:14" x14ac:dyDescent="0.2">
      <c r="J442" s="4"/>
      <c r="K442" s="4"/>
      <c r="L442" s="4"/>
      <c r="M442" s="4"/>
      <c r="N442" s="4"/>
    </row>
    <row r="443" spans="10:14" x14ac:dyDescent="0.2">
      <c r="J443" s="4"/>
      <c r="K443" s="4"/>
      <c r="L443" s="4"/>
      <c r="M443" s="4"/>
      <c r="N443" s="4"/>
    </row>
    <row r="444" spans="10:14" x14ac:dyDescent="0.2">
      <c r="J444" s="4"/>
      <c r="K444" s="4"/>
      <c r="L444" s="4"/>
      <c r="M444" s="4"/>
      <c r="N444" s="4"/>
    </row>
    <row r="445" spans="10:14" x14ac:dyDescent="0.2">
      <c r="J445" s="4"/>
      <c r="K445" s="4"/>
      <c r="L445" s="4"/>
      <c r="M445" s="4"/>
      <c r="N445" s="4"/>
    </row>
    <row r="446" spans="10:14" x14ac:dyDescent="0.2">
      <c r="J446" s="4"/>
      <c r="K446" s="4"/>
      <c r="L446" s="4"/>
      <c r="M446" s="4"/>
      <c r="N446" s="4"/>
    </row>
    <row r="447" spans="10:14" x14ac:dyDescent="0.2">
      <c r="J447" s="4"/>
      <c r="K447" s="4"/>
      <c r="L447" s="4"/>
      <c r="M447" s="4"/>
      <c r="N447" s="4"/>
    </row>
    <row r="448" spans="10:14" x14ac:dyDescent="0.2">
      <c r="J448" s="4"/>
      <c r="K448" s="4"/>
      <c r="L448" s="4"/>
      <c r="M448" s="4"/>
      <c r="N448" s="4"/>
    </row>
    <row r="449" spans="10:14" x14ac:dyDescent="0.2">
      <c r="J449" s="4"/>
      <c r="K449" s="4"/>
      <c r="L449" s="4"/>
      <c r="M449" s="4"/>
      <c r="N449" s="4"/>
    </row>
    <row r="450" spans="10:14" x14ac:dyDescent="0.2">
      <c r="J450" s="4"/>
      <c r="K450" s="4"/>
      <c r="L450" s="4"/>
      <c r="M450" s="4"/>
      <c r="N450" s="4"/>
    </row>
    <row r="451" spans="10:14" x14ac:dyDescent="0.2">
      <c r="J451" s="4"/>
      <c r="K451" s="4"/>
      <c r="L451" s="4"/>
      <c r="M451" s="4"/>
      <c r="N451" s="4"/>
    </row>
    <row r="452" spans="10:14" x14ac:dyDescent="0.2">
      <c r="J452" s="4"/>
      <c r="K452" s="4"/>
      <c r="L452" s="4"/>
      <c r="M452" s="4"/>
      <c r="N452" s="4"/>
    </row>
    <row r="453" spans="10:14" x14ac:dyDescent="0.2">
      <c r="J453" s="4"/>
      <c r="K453" s="4"/>
      <c r="L453" s="4"/>
      <c r="M453" s="4"/>
      <c r="N453" s="4"/>
    </row>
    <row r="454" spans="10:14" x14ac:dyDescent="0.2">
      <c r="J454" s="4"/>
      <c r="K454" s="4"/>
      <c r="L454" s="4"/>
      <c r="M454" s="4"/>
      <c r="N454" s="4"/>
    </row>
    <row r="455" spans="10:14" x14ac:dyDescent="0.2">
      <c r="J455" s="4"/>
      <c r="K455" s="4"/>
      <c r="L455" s="4"/>
      <c r="M455" s="4"/>
      <c r="N455" s="4"/>
    </row>
    <row r="456" spans="10:14" x14ac:dyDescent="0.2">
      <c r="J456" s="4"/>
      <c r="K456" s="4"/>
      <c r="L456" s="4"/>
      <c r="M456" s="4"/>
      <c r="N456" s="4"/>
    </row>
    <row r="457" spans="10:14" x14ac:dyDescent="0.2">
      <c r="J457" s="4"/>
      <c r="K457" s="4"/>
      <c r="L457" s="4"/>
      <c r="M457" s="4"/>
      <c r="N457" s="4"/>
    </row>
    <row r="458" spans="10:14" x14ac:dyDescent="0.2">
      <c r="J458" s="4"/>
      <c r="K458" s="4"/>
      <c r="L458" s="4"/>
      <c r="M458" s="4"/>
      <c r="N458" s="4"/>
    </row>
    <row r="459" spans="10:14" x14ac:dyDescent="0.2">
      <c r="J459" s="4"/>
      <c r="K459" s="4"/>
      <c r="L459" s="4"/>
      <c r="M459" s="4"/>
      <c r="N459" s="4"/>
    </row>
    <row r="460" spans="10:14" x14ac:dyDescent="0.2">
      <c r="J460" s="4"/>
      <c r="K460" s="4"/>
      <c r="L460" s="4"/>
      <c r="M460" s="4"/>
      <c r="N460" s="4"/>
    </row>
    <row r="461" spans="10:14" x14ac:dyDescent="0.2">
      <c r="J461" s="4"/>
      <c r="K461" s="4"/>
      <c r="L461" s="4"/>
      <c r="M461" s="4"/>
      <c r="N461" s="4"/>
    </row>
    <row r="462" spans="10:14" x14ac:dyDescent="0.2">
      <c r="J462" s="4"/>
      <c r="K462" s="4"/>
      <c r="L462" s="4"/>
      <c r="M462" s="4"/>
      <c r="N462" s="4"/>
    </row>
    <row r="463" spans="10:14" x14ac:dyDescent="0.2">
      <c r="J463" s="4"/>
      <c r="K463" s="4"/>
      <c r="L463" s="4"/>
      <c r="M463" s="4"/>
      <c r="N463" s="4"/>
    </row>
    <row r="464" spans="10:14" x14ac:dyDescent="0.2">
      <c r="J464" s="4"/>
      <c r="K464" s="4"/>
      <c r="L464" s="4"/>
      <c r="M464" s="4"/>
      <c r="N464" s="4"/>
    </row>
    <row r="465" spans="10:14" x14ac:dyDescent="0.2">
      <c r="J465" s="4"/>
      <c r="K465" s="4"/>
      <c r="L465" s="4"/>
      <c r="M465" s="4"/>
      <c r="N465" s="4"/>
    </row>
    <row r="466" spans="10:14" x14ac:dyDescent="0.2">
      <c r="J466" s="4"/>
      <c r="K466" s="4"/>
      <c r="L466" s="4"/>
      <c r="M466" s="4"/>
      <c r="N466" s="4"/>
    </row>
    <row r="467" spans="10:14" x14ac:dyDescent="0.2">
      <c r="J467" s="4"/>
      <c r="K467" s="4"/>
      <c r="L467" s="4"/>
      <c r="M467" s="4"/>
      <c r="N467" s="4"/>
    </row>
    <row r="468" spans="10:14" x14ac:dyDescent="0.2">
      <c r="J468" s="4"/>
      <c r="K468" s="4"/>
      <c r="L468" s="4"/>
      <c r="M468" s="4"/>
      <c r="N468" s="4"/>
    </row>
    <row r="469" spans="10:14" x14ac:dyDescent="0.2">
      <c r="J469" s="4"/>
      <c r="K469" s="4"/>
      <c r="L469" s="4"/>
      <c r="M469" s="4"/>
      <c r="N469" s="4"/>
    </row>
    <row r="470" spans="10:14" x14ac:dyDescent="0.2">
      <c r="J470" s="4"/>
      <c r="K470" s="4"/>
      <c r="L470" s="4"/>
      <c r="M470" s="4"/>
      <c r="N470" s="4"/>
    </row>
    <row r="471" spans="10:14" x14ac:dyDescent="0.2">
      <c r="J471" s="4"/>
      <c r="K471" s="4"/>
      <c r="L471" s="4"/>
      <c r="M471" s="4"/>
      <c r="N471" s="4"/>
    </row>
    <row r="472" spans="10:14" x14ac:dyDescent="0.2">
      <c r="J472" s="4"/>
      <c r="K472" s="4"/>
      <c r="L472" s="4"/>
      <c r="M472" s="4"/>
      <c r="N472" s="4"/>
    </row>
    <row r="473" spans="10:14" x14ac:dyDescent="0.2">
      <c r="J473" s="4"/>
      <c r="K473" s="4"/>
      <c r="L473" s="4"/>
      <c r="M473" s="4"/>
      <c r="N473" s="4"/>
    </row>
    <row r="474" spans="10:14" x14ac:dyDescent="0.2">
      <c r="J474" s="4"/>
      <c r="K474" s="4"/>
      <c r="L474" s="4"/>
      <c r="M474" s="4"/>
      <c r="N474" s="4"/>
    </row>
    <row r="475" spans="10:14" x14ac:dyDescent="0.2">
      <c r="J475" s="4"/>
      <c r="K475" s="4"/>
      <c r="L475" s="4"/>
      <c r="M475" s="4"/>
      <c r="N475" s="4"/>
    </row>
    <row r="476" spans="10:14" x14ac:dyDescent="0.2">
      <c r="J476" s="4"/>
      <c r="K476" s="4"/>
      <c r="L476" s="4"/>
      <c r="M476" s="4"/>
      <c r="N476" s="4"/>
    </row>
    <row r="477" spans="10:14" x14ac:dyDescent="0.2">
      <c r="J477" s="4"/>
      <c r="K477" s="4"/>
      <c r="L477" s="4"/>
      <c r="M477" s="4"/>
      <c r="N477" s="4"/>
    </row>
    <row r="478" spans="10:14" x14ac:dyDescent="0.2">
      <c r="J478" s="4"/>
      <c r="K478" s="4"/>
      <c r="L478" s="4"/>
      <c r="M478" s="4"/>
      <c r="N478" s="4"/>
    </row>
    <row r="479" spans="10:14" x14ac:dyDescent="0.2">
      <c r="J479" s="4"/>
      <c r="K479" s="4"/>
      <c r="L479" s="4"/>
      <c r="M479" s="4"/>
      <c r="N479" s="4"/>
    </row>
    <row r="480" spans="10:14" x14ac:dyDescent="0.2">
      <c r="J480" s="4"/>
      <c r="K480" s="4"/>
      <c r="L480" s="4"/>
      <c r="M480" s="4"/>
      <c r="N480" s="4"/>
    </row>
    <row r="481" spans="10:14" x14ac:dyDescent="0.2">
      <c r="J481" s="4"/>
      <c r="K481" s="4"/>
      <c r="L481" s="4"/>
      <c r="M481" s="4"/>
      <c r="N481" s="4"/>
    </row>
    <row r="482" spans="10:14" x14ac:dyDescent="0.2">
      <c r="J482" s="4"/>
      <c r="K482" s="4"/>
      <c r="L482" s="4"/>
      <c r="M482" s="4"/>
      <c r="N482" s="4"/>
    </row>
    <row r="483" spans="10:14" x14ac:dyDescent="0.2">
      <c r="J483" s="4"/>
      <c r="K483" s="4"/>
      <c r="L483" s="4"/>
      <c r="M483" s="4"/>
      <c r="N483" s="4"/>
    </row>
    <row r="484" spans="10:14" x14ac:dyDescent="0.2">
      <c r="J484" s="4"/>
      <c r="K484" s="4"/>
      <c r="L484" s="4"/>
      <c r="M484" s="4"/>
      <c r="N484" s="4"/>
    </row>
    <row r="485" spans="10:14" x14ac:dyDescent="0.2">
      <c r="J485" s="4"/>
      <c r="K485" s="4"/>
      <c r="L485" s="4"/>
      <c r="M485" s="4"/>
      <c r="N485" s="4"/>
    </row>
    <row r="486" spans="10:14" x14ac:dyDescent="0.2">
      <c r="J486" s="4"/>
      <c r="K486" s="4"/>
      <c r="L486" s="4"/>
      <c r="M486" s="4"/>
      <c r="N486" s="4"/>
    </row>
    <row r="487" spans="10:14" x14ac:dyDescent="0.2">
      <c r="J487" s="4"/>
      <c r="K487" s="4"/>
      <c r="L487" s="4"/>
      <c r="M487" s="4"/>
      <c r="N487" s="4"/>
    </row>
    <row r="488" spans="10:14" x14ac:dyDescent="0.2">
      <c r="J488" s="4"/>
      <c r="K488" s="4"/>
      <c r="L488" s="4"/>
      <c r="M488" s="4"/>
      <c r="N4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Sabuj Das</dc:creator>
  <cp:lastModifiedBy>Sabuj Das</cp:lastModifiedBy>
  <dcterms:created xsi:type="dcterms:W3CDTF">2025-10-13T08:07:20Z</dcterms:created>
  <dcterms:modified xsi:type="dcterms:W3CDTF">2025-10-16T08:31:15Z</dcterms:modified>
</cp:coreProperties>
</file>